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7"/>
  <workbookPr/>
  <mc:AlternateContent xmlns:mc="http://schemas.openxmlformats.org/markup-compatibility/2006">
    <mc:Choice Requires="x15">
      <x15ac:absPath xmlns:x15ac="http://schemas.microsoft.com/office/spreadsheetml/2010/11/ac" url="https://uoe.sharepoint.com/sites/Adversity-Circadian-Rhythms952/Shared Documents/General/"/>
    </mc:Choice>
  </mc:AlternateContent>
  <xr:revisionPtr revIDLastSave="627" documentId="8_{F6A6A629-EF5C-7A4D-A1E8-D1D31657EA90}" xr6:coauthVersionLast="47" xr6:coauthVersionMax="47" xr10:uidLastSave="{CABE142C-97CC-41B8-92E4-09A68BACC64B}"/>
  <bookViews>
    <workbookView xWindow="9000" yWindow="620" windowWidth="28800" windowHeight="16420" firstSheet="2" xr2:uid="{9080A399-2BA1-634F-AD11-93C1835D6526}"/>
  </bookViews>
  <sheets>
    <sheet name="BioBank Variables" sheetId="1" r:id="rId1"/>
    <sheet name="Ethnicity" sheetId="2" r:id="rId2"/>
    <sheet name="Summ. stats" sheetId="3" r:id="rId3"/>
    <sheet name="Subsca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2" l="1" a="1"/>
  <c r="F64" i="2" s="1"/>
  <c r="F63" i="2" a="1"/>
  <c r="F63" i="2" s="1"/>
  <c r="F62" i="2"/>
  <c r="F61" i="2"/>
  <c r="E64" i="2" a="1"/>
  <c r="E64" i="2" s="1"/>
  <c r="E63" i="2" a="1"/>
  <c r="E63" i="2" s="1"/>
  <c r="E62" i="2"/>
  <c r="E61" i="2"/>
  <c r="D64" i="2" a="1"/>
  <c r="D64" i="2" s="1"/>
  <c r="D63" i="2" a="1"/>
  <c r="D63" i="2" s="1"/>
  <c r="D62" i="2"/>
  <c r="D61" i="2"/>
  <c r="C64" i="2" a="1"/>
  <c r="C64" i="2" s="1"/>
  <c r="C63" i="2" a="1"/>
  <c r="C63" i="2" s="1"/>
  <c r="C62" i="2"/>
  <c r="C61" i="2"/>
  <c r="D29" i="2"/>
  <c r="E29" i="2"/>
  <c r="F29" i="2"/>
  <c r="C29" i="2"/>
  <c r="D28" i="2"/>
  <c r="E28" i="2"/>
  <c r="F28" i="2"/>
  <c r="D27" i="2"/>
  <c r="E27" i="2"/>
  <c r="C27" i="2"/>
  <c r="E26" i="2"/>
  <c r="D26" i="2"/>
  <c r="C26" i="2"/>
  <c r="F25" i="2"/>
  <c r="F27" i="2" s="1"/>
  <c r="E25" i="2"/>
  <c r="E30" i="2" s="1" a="1"/>
  <c r="E30" i="2" s="1"/>
  <c r="D25" i="2"/>
  <c r="D30" i="2" s="1" a="1"/>
  <c r="D30" i="2" s="1"/>
  <c r="C25" i="2"/>
  <c r="C30" i="2" s="1" a="1"/>
  <c r="C30" i="2" s="1"/>
  <c r="C28" i="2" l="1"/>
  <c r="F26" i="2"/>
  <c r="F30" i="2" a="1"/>
  <c r="F3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<sst xmlns="http://schemas.openxmlformats.org/spreadsheetml/2006/main" count="669" uniqueCount="400">
  <si>
    <t>All pulled potential variables of interest:</t>
  </si>
  <si>
    <t>BioBank Variables</t>
  </si>
  <si>
    <t>BioBank location pathway</t>
  </si>
  <si>
    <t>Field ID Description</t>
  </si>
  <si>
    <t>Include</t>
  </si>
  <si>
    <t>To be researched</t>
  </si>
  <si>
    <t>Exclude</t>
  </si>
  <si>
    <t>Relevant Papers</t>
  </si>
  <si>
    <t>Sociodemographics</t>
  </si>
  <si>
    <t>Ethnic background</t>
  </si>
  <si>
    <t>Assessment centre - touchscreen - sociodemographics</t>
  </si>
  <si>
    <t>Job involves shiftwork</t>
  </si>
  <si>
    <t>Job involves night shiftwork</t>
  </si>
  <si>
    <t>Genetic sex</t>
  </si>
  <si>
    <t xml:space="preserve">Genomics - genotypes - genotyping process and sample QC </t>
  </si>
  <si>
    <t>Indices of Multiple  Deprivation for England, Scotland and Wales</t>
  </si>
  <si>
    <t xml:space="preserve">Population characteristics - baseline characteristics </t>
  </si>
  <si>
    <t>Age when attended assessment centre</t>
  </si>
  <si>
    <t>Assessment centre - recruitment - reception</t>
  </si>
  <si>
    <t>Home area population density</t>
  </si>
  <si>
    <t>Location of assessment centre</t>
  </si>
  <si>
    <t xml:space="preserve">	Assessment centre ⏵ Recruitment ⏵ Reception
	Geographical measures + Brain MRI + Primary demographics + Geographical and location</t>
  </si>
  <si>
    <t>Job involved shift work</t>
  </si>
  <si>
    <t>Online follow-up - work environment - employment history</t>
  </si>
  <si>
    <t>Day shifts worked</t>
  </si>
  <si>
    <t>Period spent working day shifts</t>
  </si>
  <si>
    <t>Mixture of day and night shifts worked</t>
  </si>
  <si>
    <t>Period spent working mix of day and night shifts</t>
  </si>
  <si>
    <t>Usual length of each night shift during mixed shift periods</t>
  </si>
  <si>
    <t>Number of night shifts worked monthly during mixed shift periods</t>
  </si>
  <si>
    <t>Consecutive night shifts during mixed shift periods</t>
  </si>
  <si>
    <t>Rest days during mixed shift periods</t>
  </si>
  <si>
    <t>Night shifts worked</t>
  </si>
  <si>
    <t>Period spent working night shifts</t>
  </si>
  <si>
    <t>Usual length of each night shift during night shift periods</t>
  </si>
  <si>
    <t>Number of night shifts worked monthly during night shift periods</t>
  </si>
  <si>
    <t>Consecutive night shifts during night shift periods</t>
  </si>
  <si>
    <t>Rest days during night shift periods</t>
  </si>
  <si>
    <t>Trauma variables</t>
  </si>
  <si>
    <t>Non-accidental death in close genetic family</t>
  </si>
  <si>
    <t>Assessment centre - touchscreen - family history</t>
  </si>
  <si>
    <t>? - this is not a psychological measure specifically</t>
  </si>
  <si>
    <t>Able to confide</t>
  </si>
  <si>
    <t>Assessment centre - touchscreen - psychosocial factors - social support</t>
  </si>
  <si>
    <t>? - relevance?</t>
  </si>
  <si>
    <t>Ever had stillbirth, spontaneous miscarriage or termination</t>
  </si>
  <si>
    <t xml:space="preserve">Assessment centre - touchscreen - sex-specific factors - female - specific factors </t>
  </si>
  <si>
    <t>Numbers of stillbirths</t>
  </si>
  <si>
    <t>Numbers of spontaneous miscarriages</t>
  </si>
  <si>
    <t>Number of pregnancy terminations</t>
  </si>
  <si>
    <t>Belittlement by partner or ex-partner as an adult</t>
  </si>
  <si>
    <t>Online follow-up - mental well-being - adverse life events</t>
  </si>
  <si>
    <t>Experienced a life-threatening injury or illness</t>
  </si>
  <si>
    <t>X DO NOT HAVE ACCESS - LIMITATION</t>
  </si>
  <si>
    <t>Experienced a marital separation/divorce</t>
  </si>
  <si>
    <t>Experienced a violent or sexual assault</t>
  </si>
  <si>
    <t>Experienced the death of a close friend or family member due to suicide</t>
  </si>
  <si>
    <t>Experienced the death of a spouse or partner</t>
  </si>
  <si>
    <t>Felt hated by family member as a child</t>
  </si>
  <si>
    <t>Felt loved as a child</t>
  </si>
  <si>
    <t>Physical violence by partner or ex-partner as an adult</t>
  </si>
  <si>
    <t>Physically abused by family as a child</t>
  </si>
  <si>
    <t>Sexual intercourse by partner or ex-partner without consent as an adult</t>
  </si>
  <si>
    <t>Sexual interference by partner or ex-partner without consent as an adult</t>
  </si>
  <si>
    <t>Sexually molested as a child</t>
  </si>
  <si>
    <t>Someone to take to doctor when needed as a child</t>
  </si>
  <si>
    <t>Stopped from seeing friends or family by partner or ex-partner as an adult</t>
  </si>
  <si>
    <t>Mental health conditions ever diagnosed by a professional</t>
  </si>
  <si>
    <t>Online follow-up - mental well-being - mental health</t>
  </si>
  <si>
    <t>*Are all of those diagnosed with PTSD going to be included/excluded or in their own group.</t>
  </si>
  <si>
    <t>Quick recovery from stressful events</t>
  </si>
  <si>
    <t>Online follow up - mental well-being - social situation</t>
  </si>
  <si>
    <t>Depression possibly related to stressful or traumatic event</t>
  </si>
  <si>
    <t>Online follow up - mental health - depression</t>
  </si>
  <si>
    <t>Online follow up - mental health - Traumatic events</t>
  </si>
  <si>
    <t>Been in a confiding relationship as an adult</t>
  </si>
  <si>
    <t>Able to pay rent/mortgage as an adult</t>
  </si>
  <si>
    <t>Victim of sexual assault</t>
  </si>
  <si>
    <t>Victim of physically violent crime</t>
  </si>
  <si>
    <t>Been in serious accident believed to be life-threatening</t>
  </si>
  <si>
    <t>Witnessed sudden violent death</t>
  </si>
  <si>
    <t>Diagnosed with life-threatening illness</t>
  </si>
  <si>
    <t>Been involved in combat or exposed to war-zone</t>
  </si>
  <si>
    <t>Repeated disturbing thoughts of stressful experience in past month</t>
  </si>
  <si>
    <t>Felt very upset when reminded of stressful experience in past month</t>
  </si>
  <si>
    <t>Avoided activities or situations because of previous stressful experience in past month</t>
  </si>
  <si>
    <t>Felt distant from other people in past month</t>
  </si>
  <si>
    <t>Felt irritable or had angry outbursts in past month</t>
  </si>
  <si>
    <t>Self-reported sleep measures</t>
  </si>
  <si>
    <t>Sleep duration</t>
  </si>
  <si>
    <t>Assessment centre - touchscreen - lifestyle and environment - sleep</t>
  </si>
  <si>
    <t>Getting up in the morning</t>
  </si>
  <si>
    <t>Nap during day</t>
  </si>
  <si>
    <t>Sleeplessness/insomnia</t>
  </si>
  <si>
    <t>Snoring</t>
  </si>
  <si>
    <t>?</t>
  </si>
  <si>
    <t>Daytime dozing/sleeping</t>
  </si>
  <si>
    <t>Sleep changed during sadness/depression or loss of interest</t>
  </si>
  <si>
    <t>Online follow up - mental well-being - depression</t>
  </si>
  <si>
    <t>Sleeping too much</t>
  </si>
  <si>
    <t>Time of day that mood was worse during worst episode of depression</t>
  </si>
  <si>
    <t>Trouble falling asleep</t>
  </si>
  <si>
    <t>Trouble falling or staying asleep, or sleeping too much</t>
  </si>
  <si>
    <t>Waking too early</t>
  </si>
  <si>
    <t>Currently suffering from difficulty sleeping</t>
  </si>
  <si>
    <t>Online follow-up - health and well-being</t>
  </si>
  <si>
    <t>Length of time suffering from difficulty sleeping</t>
  </si>
  <si>
    <t>Extent affected by difficulty sleeping</t>
  </si>
  <si>
    <t>Currently suffering from night sweats</t>
  </si>
  <si>
    <t>Length of time suffering from night sweats</t>
  </si>
  <si>
    <t>Extent affected by night sweats</t>
  </si>
  <si>
    <t>Currently suffering from unrestful sleep</t>
  </si>
  <si>
    <t>Length of time suffering from unrestful sleep</t>
  </si>
  <si>
    <t>Extent affected by unrestful sleep</t>
  </si>
  <si>
    <t>Currently suffering from mild fatigue</t>
  </si>
  <si>
    <t>Length of time suffering from mild fatigue</t>
  </si>
  <si>
    <t>Extent affected by mild fatigue</t>
  </si>
  <si>
    <t>Currently suffering from severe fatigue</t>
  </si>
  <si>
    <t>Length of time suffering from severe fatigue</t>
  </si>
  <si>
    <t>Extent affected by severe fatigue</t>
  </si>
  <si>
    <t>Did your sleep change?</t>
  </si>
  <si>
    <t xml:space="preserve">Online follow-up - mental health - depression </t>
  </si>
  <si>
    <t>Recent feelings of tiredness or low energy</t>
  </si>
  <si>
    <t>Easily tired during worst period of anxiety</t>
  </si>
  <si>
    <t>Online follow-up - mental health - anxiety</t>
  </si>
  <si>
    <t>Frequent trouble falling or staying asleep during worst period of anxiety</t>
  </si>
  <si>
    <t>Wearable sleep data</t>
  </si>
  <si>
    <t>sleep - day average</t>
  </si>
  <si>
    <t>additional exposures - physicaly activity measurement - derived accelerometry</t>
  </si>
  <si>
    <t>sleep - day hour average</t>
  </si>
  <si>
    <t>sleep - overall average</t>
  </si>
  <si>
    <t>sleep - weekday hour average</t>
  </si>
  <si>
    <t>sleep - weekend hour average</t>
  </si>
  <si>
    <t>Variables relating to circadian rhythm</t>
  </si>
  <si>
    <t>Morning/evening person (choronotype)</t>
  </si>
  <si>
    <t>Time spend outdoors in summer</t>
  </si>
  <si>
    <t>Assessment centre - touchscreen - lifestyle and environment - sun exposure</t>
  </si>
  <si>
    <t>Time spend outdoors in winter</t>
  </si>
  <si>
    <t>Frequency of solarium/sunlamp use</t>
  </si>
  <si>
    <t>Inflammation</t>
  </si>
  <si>
    <t>Lymphocyte count</t>
  </si>
  <si>
    <t>Biological samples - blood assays - blood count - blood count processing</t>
  </si>
  <si>
    <t>Neutrophil count</t>
  </si>
  <si>
    <t>Plasma glial fibrillary acidic protein</t>
  </si>
  <si>
    <t>Biological samples - blood assays - neurobiomarkers</t>
  </si>
  <si>
    <t>C-reactive protein</t>
  </si>
  <si>
    <t>Biological samples - blood assays - blood chemistry biomarkers</t>
  </si>
  <si>
    <t>Furtado and Katzman 2015 https://dx.doi.org/10.1016/j.psychres.2015.06.009 and Vinkers et al 2021 https://dx.doi.org/10.1016/j.jad.2021.01.051</t>
  </si>
  <si>
    <t>Currently suffering from a fever</t>
  </si>
  <si>
    <t>? - Exclude those with current known cause of inflammation</t>
  </si>
  <si>
    <t>Currently suffering from skin issues e.g. raised, red itchy areas, new rash</t>
  </si>
  <si>
    <t>Age at recruitment</t>
  </si>
  <si>
    <t>21022-0.0</t>
  </si>
  <si>
    <t>age</t>
  </si>
  <si>
    <t>Month of birth</t>
  </si>
  <si>
    <t>52-0.0</t>
  </si>
  <si>
    <t>mm</t>
  </si>
  <si>
    <t>Index of Multiple Deprivation England</t>
  </si>
  <si>
    <t>26410-0.0</t>
  </si>
  <si>
    <t>imde</t>
  </si>
  <si>
    <t>Index of Multiple Deprivation</t>
  </si>
  <si>
    <t>26427-0.0</t>
  </si>
  <si>
    <t>imds</t>
  </si>
  <si>
    <t>26426-0.0</t>
  </si>
  <si>
    <t>imdw</t>
  </si>
  <si>
    <t>Year of Birth</t>
  </si>
  <si>
    <t>34-0.0</t>
  </si>
  <si>
    <t>yyyy</t>
  </si>
  <si>
    <t>Sex</t>
  </si>
  <si>
    <t>31-0.0</t>
  </si>
  <si>
    <t>sex</t>
  </si>
  <si>
    <t>Townsend Deprivation Index</t>
  </si>
  <si>
    <t>22189-0.0</t>
  </si>
  <si>
    <t>tdi</t>
  </si>
  <si>
    <t>UK BioBank assessment centre</t>
  </si>
  <si>
    <t>54-0.0</t>
  </si>
  <si>
    <t>centre</t>
  </si>
  <si>
    <t>Date of attending assessment centre</t>
  </si>
  <si>
    <t>53-0.0</t>
  </si>
  <si>
    <t>21003-0.0</t>
  </si>
  <si>
    <t>20118-0.0</t>
  </si>
  <si>
    <t>home_pd</t>
  </si>
  <si>
    <t>21000-0.0</t>
  </si>
  <si>
    <t>ethnic</t>
  </si>
  <si>
    <t>1160-0.0</t>
  </si>
  <si>
    <t>sleep_d</t>
  </si>
  <si>
    <t>1170-0.0</t>
  </si>
  <si>
    <t>sleep_gu</t>
  </si>
  <si>
    <t>1180-0.0</t>
  </si>
  <si>
    <t>chrono</t>
  </si>
  <si>
    <t>1190-0.0</t>
  </si>
  <si>
    <t>sleep_nap</t>
  </si>
  <si>
    <t>1200-0.0</t>
  </si>
  <si>
    <t>sleep_i</t>
  </si>
  <si>
    <t>Daytime dozing</t>
  </si>
  <si>
    <t>1220-0.0</t>
  </si>
  <si>
    <t>sleep_dd</t>
  </si>
  <si>
    <t>Ever had a still birth, spontaneous miscarriage or pregnancy termination</t>
  </si>
  <si>
    <t>2774-0.0</t>
  </si>
  <si>
    <t>female_t</t>
  </si>
  <si>
    <t>Number of stillbirths</t>
  </si>
  <si>
    <t>3829-0.0</t>
  </si>
  <si>
    <t>nstill</t>
  </si>
  <si>
    <t>Number of spontaneous miscarriages</t>
  </si>
  <si>
    <t>3839-0.0</t>
  </si>
  <si>
    <t>nsponmis</t>
  </si>
  <si>
    <t>3849-0.0</t>
  </si>
  <si>
    <t>npregterm</t>
  </si>
  <si>
    <t>30120-0.0</t>
  </si>
  <si>
    <t>lymphc</t>
  </si>
  <si>
    <t>30140-0.0</t>
  </si>
  <si>
    <t>neutc</t>
  </si>
  <si>
    <t>30710-0.0</t>
  </si>
  <si>
    <t>crp</t>
  </si>
  <si>
    <t>20488-0.0</t>
  </si>
  <si>
    <t>pchild_t</t>
  </si>
  <si>
    <t>20490-0.0</t>
  </si>
  <si>
    <t>schild_t</t>
  </si>
  <si>
    <t>20523-0.0</t>
  </si>
  <si>
    <t>padult_t</t>
  </si>
  <si>
    <t>20521-0.0</t>
  </si>
  <si>
    <t>eadult_t</t>
  </si>
  <si>
    <t>20524-0.0</t>
  </si>
  <si>
    <t>siadult_t</t>
  </si>
  <si>
    <t>20531-0.0</t>
  </si>
  <si>
    <t>sa</t>
  </si>
  <si>
    <t>20529-0.0</t>
  </si>
  <si>
    <t>vc</t>
  </si>
  <si>
    <t>20526-0.0</t>
  </si>
  <si>
    <t>life_acc</t>
  </si>
  <si>
    <t>20530-0.0</t>
  </si>
  <si>
    <t>sudd_d</t>
  </si>
  <si>
    <t>20528-0.0</t>
  </si>
  <si>
    <t>life_ds</t>
  </si>
  <si>
    <t>20527-0.0</t>
  </si>
  <si>
    <t>c_w</t>
  </si>
  <si>
    <t>40042-0.0</t>
  </si>
  <si>
    <t>act_da</t>
  </si>
  <si>
    <t>40030-0.0</t>
  </si>
  <si>
    <t>act_dha</t>
  </si>
  <si>
    <t>40046-0.0</t>
  </si>
  <si>
    <t>act_oa</t>
  </si>
  <si>
    <t>40034-0.0</t>
  </si>
  <si>
    <t>act_wyha</t>
  </si>
  <si>
    <t>40038-0.0</t>
  </si>
  <si>
    <t>act_wdha</t>
  </si>
  <si>
    <t>Final variables of interest list:</t>
  </si>
  <si>
    <t>BioBank code</t>
  </si>
  <si>
    <t>Relabelling</t>
  </si>
  <si>
    <t>Comments</t>
  </si>
  <si>
    <t>Using TDI rather than IMD</t>
  </si>
  <si>
    <t>21000-3.0</t>
  </si>
  <si>
    <t>Sleep disturbance</t>
  </si>
  <si>
    <t>Sleeplessness/insomnia (Instance 3)</t>
  </si>
  <si>
    <t>1200-3.0</t>
  </si>
  <si>
    <t>20489-0.0</t>
  </si>
  <si>
    <t>lchild_t</t>
  </si>
  <si>
    <t>remember that this needs to be flipped in the code!</t>
  </si>
  <si>
    <t>20487-0.0</t>
  </si>
  <si>
    <t>hchild_t</t>
  </si>
  <si>
    <t>20491-0.0</t>
  </si>
  <si>
    <t>dchild_t</t>
  </si>
  <si>
    <t>20522-0.0</t>
  </si>
  <si>
    <t>cradult_t</t>
  </si>
  <si>
    <t>20525-0.0</t>
  </si>
  <si>
    <t>rmadult_t</t>
  </si>
  <si>
    <t>Confounding factors</t>
  </si>
  <si>
    <t>826-3.0</t>
  </si>
  <si>
    <t>826-0.0</t>
  </si>
  <si>
    <t>shift</t>
  </si>
  <si>
    <t>BMI</t>
  </si>
  <si>
    <t>21001-0.0</t>
  </si>
  <si>
    <t>bmi</t>
  </si>
  <si>
    <t>Diabetes diagnosed by doctor</t>
  </si>
  <si>
    <t>2443-3.0</t>
  </si>
  <si>
    <t>2443-0.0</t>
  </si>
  <si>
    <t>diab</t>
  </si>
  <si>
    <t>Cardiovascular disease</t>
  </si>
  <si>
    <t>cvd</t>
  </si>
  <si>
    <t>Many CVD diagnoses</t>
  </si>
  <si>
    <t>Frequency of drinking alcohol</t>
  </si>
  <si>
    <t>20414-0.0</t>
  </si>
  <si>
    <t>falco</t>
  </si>
  <si>
    <t>Frequency of consuming 6 or more units of alcohol</t>
  </si>
  <si>
    <t>20416-0.0</t>
  </si>
  <si>
    <t>sixalco</t>
  </si>
  <si>
    <t>Smoking status - Instance 0</t>
  </si>
  <si>
    <t>20116-0.0</t>
  </si>
  <si>
    <t>smoke0</t>
  </si>
  <si>
    <t>Smoking status - Instance 3</t>
  </si>
  <si>
    <t>20116-3.0</t>
  </si>
  <si>
    <t>smoke3</t>
  </si>
  <si>
    <t>Sedentary - day average</t>
  </si>
  <si>
    <t>40043-0.0</t>
  </si>
  <si>
    <t>sed</t>
  </si>
  <si>
    <t>Depression</t>
  </si>
  <si>
    <t>Many measures of depression</t>
  </si>
  <si>
    <t>Ethnic code in BioBank</t>
  </si>
  <si>
    <t>Control</t>
  </si>
  <si>
    <t>Child</t>
  </si>
  <si>
    <t>Adult</t>
  </si>
  <si>
    <t>Both</t>
  </si>
  <si>
    <t>Prefer not to answer</t>
  </si>
  <si>
    <t>Do not know</t>
  </si>
  <si>
    <t>White</t>
  </si>
  <si>
    <t>Mixed</t>
  </si>
  <si>
    <t>Asian/Asian British</t>
  </si>
  <si>
    <t>Black/Black British</t>
  </si>
  <si>
    <t>Chinese</t>
  </si>
  <si>
    <t>Other Ethnic Group</t>
  </si>
  <si>
    <t>British</t>
  </si>
  <si>
    <t>Irish</t>
  </si>
  <si>
    <t>Any other White background</t>
  </si>
  <si>
    <t>White and Black Caribbean</t>
  </si>
  <si>
    <t>White and Black African</t>
  </si>
  <si>
    <t>White and Asian</t>
  </si>
  <si>
    <t>Any other mixed background</t>
  </si>
  <si>
    <t>Indian</t>
  </si>
  <si>
    <t>Pakistani</t>
  </si>
  <si>
    <t>Bangladeshi</t>
  </si>
  <si>
    <t>Any of Asian background</t>
  </si>
  <si>
    <t>Caribbean</t>
  </si>
  <si>
    <t>African</t>
  </si>
  <si>
    <t>Any other Black background</t>
  </si>
  <si>
    <t>NA</t>
  </si>
  <si>
    <t>Non-applicable</t>
  </si>
  <si>
    <t>Percentage(%)</t>
  </si>
  <si>
    <t>Irish/Any other white background</t>
  </si>
  <si>
    <t>All other ethnic backgrounds</t>
  </si>
  <si>
    <t>Irish and Any other white background</t>
  </si>
  <si>
    <t>No trauma (control) N = 8695</t>
  </si>
  <si>
    <t>Childhood trauma N = 6991</t>
  </si>
  <si>
    <t>Adulthood trauma N = 9101</t>
  </si>
  <si>
    <t>Both child and adulthood trauma (mixed) N = 19458</t>
  </si>
  <si>
    <t>Age</t>
  </si>
  <si>
    <t>Range = 40-70 Mean 53.07 SD 6.76</t>
  </si>
  <si>
    <t>40 - 69 Mean 53.1 SD 6.79</t>
  </si>
  <si>
    <t>40 - 70 Mean 52.51 SD 6.95</t>
  </si>
  <si>
    <t>39-70 Mean 52.92 SD 6.96</t>
  </si>
  <si>
    <t xml:space="preserve"> Counts|Percentages</t>
  </si>
  <si>
    <t>F: 4699|54.04% M: 3996|45.96%</t>
  </si>
  <si>
    <t>F 3320; 47.49% M 3671; 52.52%</t>
  </si>
  <si>
    <t>F 5587; 61.39 M 3514; 38.61</t>
  </si>
  <si>
    <t>F 11502; 59.11 M 7956;40.89</t>
  </si>
  <si>
    <t>Ethnicity</t>
  </si>
  <si>
    <t>93.11%, 5.14%, 0.99%</t>
  </si>
  <si>
    <t>91.71% 5.65% 1.79%</t>
  </si>
  <si>
    <t>90.94% 6.03% 1.96%</t>
  </si>
  <si>
    <t>87.65%; 7.48%; 3.37</t>
  </si>
  <si>
    <t>Townsend Deprivation Score</t>
  </si>
  <si>
    <t>Range -6.26-9.01 Mean -2.09 SD 2.57</t>
  </si>
  <si>
    <t>R - 6.26 - 9.16 Mean -2.04 SD 2.59</t>
  </si>
  <si>
    <t>R-6.26 - 10.46 Mean -1.47 SD 2.92</t>
  </si>
  <si>
    <t>R-6.26 - 9.74 Mean -1.31 SD 2.98</t>
  </si>
  <si>
    <t>Mean composite trauma score</t>
  </si>
  <si>
    <t>1-20 Mean 2.37 SD 1.93</t>
  </si>
  <si>
    <t>1 to 17 Mean 2.95 SD 2.06</t>
  </si>
  <si>
    <t>2-35 mean 6.87 SD 4.20</t>
  </si>
  <si>
    <t>Subscale of abuse</t>
  </si>
  <si>
    <t>Subscale of neglect</t>
  </si>
  <si>
    <t>Percentages|Counts</t>
  </si>
  <si>
    <t>Shiftworkers</t>
  </si>
  <si>
    <t>90.25%/4.63%/1.09/3.94|Counts: 7847/403/95/343</t>
  </si>
  <si>
    <t>88.31%/5.48/1.29/4.79|6174/383/90/335</t>
  </si>
  <si>
    <t>88.24%/5.37/1.27/4.91|8031/489/116/447</t>
  </si>
  <si>
    <t>84.96%/6.97/1.84/6.05|16531/1357/358/1177</t>
  </si>
  <si>
    <t>frequency of alcohol consumption</t>
  </si>
  <si>
    <t>6.14/10.27/17.81/34.81/30.96|534/893/1549/3027/2692</t>
  </si>
  <si>
    <t>5.89/10.47/18.38/33.50/31.76|412/732/1285/2342/2220</t>
  </si>
  <si>
    <t>7.41/13.16/20.05/31.14/28.24|674/1198/1825/2834/2570</t>
  </si>
  <si>
    <t>8.21/14.32/19.11/30.50/27.87|1597/2786/3719/5934/5422</t>
  </si>
  <si>
    <t xml:space="preserve">six or more </t>
  </si>
  <si>
    <t>42.3/25.66/9.59/13.94/2.38|3678/2231/834/1212/207*</t>
  </si>
  <si>
    <t>39.57/25.43/10.28/15.69/3.12|2766/1778/719/1097/218</t>
  </si>
  <si>
    <t>42.56/25.47/8.99/12.37/3.20|3873/2318/818/1126/291</t>
  </si>
  <si>
    <t>41.88/24.09/8.81/13.41/3.62|8149/4688/1714/2609/704</t>
  </si>
  <si>
    <t>*Large population (529, 405) NA where in the previous question they replied "never"</t>
  </si>
  <si>
    <t>smoking status</t>
  </si>
  <si>
    <t>65.58/29.51/4.74|5702/2566/412</t>
  </si>
  <si>
    <t>60.75/33.06/5.99|4247/2311/419</t>
  </si>
  <si>
    <t>62.21/30.36/7.32|5662/2763/666</t>
  </si>
  <si>
    <t>55.01/36.07/8.75|10704/7018/1702</t>
  </si>
  <si>
    <t>Diabetes</t>
  </si>
  <si>
    <t>97.8%/0.08%|8507/181/7</t>
  </si>
  <si>
    <t>97.9%/0.11%|6842/141/8</t>
  </si>
  <si>
    <t>97.70%/0.08%|8892/202/7</t>
  </si>
  <si>
    <t>97.17%/2.70%|18907/525/25/1</t>
  </si>
  <si>
    <t>Range: 16.33 - 49.27 Mean 26.24 SD 4.22</t>
  </si>
  <si>
    <t>Range: 16.15 - 50.28 Mean 26.59 SD 4.21</t>
  </si>
  <si>
    <t>Range: 13.61 - 63.58 Mean 26.39 SD 4.54</t>
  </si>
  <si>
    <t>Range: 14.68 - 67.33 Mean 26.76 SD 4.71</t>
  </si>
  <si>
    <t>No trauma</t>
  </si>
  <si>
    <t>Childhood abuse only</t>
  </si>
  <si>
    <t>Childhood neglect only</t>
  </si>
  <si>
    <t xml:space="preserve">Adulthood abuse only </t>
  </si>
  <si>
    <t>Adulthood neglect only</t>
  </si>
  <si>
    <t>Childhood and adulthood abuse</t>
  </si>
  <si>
    <t>Childhood and adulthood neglect</t>
  </si>
  <si>
    <t>Childhood abuse and adulthood neglect</t>
  </si>
  <si>
    <t>childhood neglect and adulthood abuse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</si>
</sst>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strike/>
      <sz val="12"/>
      <color theme="1"/>
      <name val="Aptos Narrow"/>
      <family val="2"/>
      <scheme val="minor"/>
    </font>
    <font>
      <strike/>
      <sz val="12"/>
      <color theme="1"/>
      <name val="Times New Roman"/>
      <family val="1"/>
    </font>
    <font>
      <strike/>
      <u/>
      <sz val="12"/>
      <color theme="10"/>
      <name val="Aptos Narrow"/>
      <family val="2"/>
      <scheme val="minor"/>
    </font>
    <font>
      <sz val="12"/>
      <color theme="1"/>
      <name val="Aptos"/>
      <family val="2"/>
      <charset val="1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  <charset val="1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2"/>
      <color theme="5" tint="0.39997558519241921"/>
      <name val="Aptos Narrow"/>
      <scheme val="minor"/>
    </font>
    <font>
      <sz val="12"/>
      <color theme="5" tint="0.39997558519241921"/>
      <name val="Aptos"/>
      <family val="2"/>
      <charset val="1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AFFAD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6" borderId="2" xfId="0" applyFill="1" applyBorder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wrapText="1"/>
    </xf>
    <xf numFmtId="0" fontId="5" fillId="0" borderId="0" xfId="0" applyFont="1" applyFill="1"/>
    <xf numFmtId="0" fontId="6" fillId="0" borderId="0" xfId="0" applyFont="1" applyFill="1" applyAlignment="1">
      <alignment horizontal="center" vertical="center"/>
    </xf>
    <xf numFmtId="0" fontId="7" fillId="0" borderId="0" xfId="1" applyFont="1" applyFill="1"/>
    <xf numFmtId="0" fontId="3" fillId="0" borderId="0" xfId="1" applyFill="1"/>
    <xf numFmtId="0" fontId="5" fillId="0" borderId="0" xfId="0" applyFont="1" applyFill="1" applyAlignment="1">
      <alignment horizontal="center" vertical="center"/>
    </xf>
    <xf numFmtId="0" fontId="1" fillId="0" borderId="0" xfId="1" applyFont="1" applyFill="1"/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8" fillId="0" borderId="0" xfId="0" applyFont="1" applyFill="1"/>
    <xf numFmtId="0" fontId="9" fillId="0" borderId="0" xfId="0" applyFont="1" applyFill="1"/>
    <xf numFmtId="0" fontId="9" fillId="0" borderId="8" xfId="0" applyFont="1" applyBorder="1" applyAlignment="1">
      <alignment horizontal="center"/>
    </xf>
    <xf numFmtId="0" fontId="17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FF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Control</a:t>
            </a:r>
          </a:p>
        </c:rich>
      </c:tx>
      <c:layout>
        <c:manualLayout>
          <c:xMode val="edge"/>
          <c:yMode val="edge"/>
          <c:x val="0.3813123359580051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Ethnicity!$B$4:$B$23</c:f>
              <c:strCache>
                <c:ptCount val="20"/>
                <c:pt idx="0">
                  <c:v>White</c:v>
                </c:pt>
                <c:pt idx="1">
                  <c:v>Mixed</c:v>
                </c:pt>
                <c:pt idx="2">
                  <c:v>Asian/Asian British</c:v>
                </c:pt>
                <c:pt idx="3">
                  <c:v>Black/Black British</c:v>
                </c:pt>
                <c:pt idx="4">
                  <c:v>Chinese</c:v>
                </c:pt>
                <c:pt idx="5">
                  <c:v>Other Ethnic Group</c:v>
                </c:pt>
                <c:pt idx="6">
                  <c:v>British</c:v>
                </c:pt>
                <c:pt idx="7">
                  <c:v>Irish</c:v>
                </c:pt>
                <c:pt idx="8">
                  <c:v>Any other White background</c:v>
                </c:pt>
                <c:pt idx="9">
                  <c:v>White and Black Caribbean</c:v>
                </c:pt>
                <c:pt idx="10">
                  <c:v>White and Black African</c:v>
                </c:pt>
                <c:pt idx="11">
                  <c:v>White and Asian</c:v>
                </c:pt>
                <c:pt idx="12">
                  <c:v>Any other mixed background</c:v>
                </c:pt>
                <c:pt idx="13">
                  <c:v>Indian</c:v>
                </c:pt>
                <c:pt idx="14">
                  <c:v>Pakistani</c:v>
                </c:pt>
                <c:pt idx="15">
                  <c:v>Bangladeshi</c:v>
                </c:pt>
                <c:pt idx="16">
                  <c:v>Any of Asian background</c:v>
                </c:pt>
                <c:pt idx="17">
                  <c:v>Caribbean</c:v>
                </c:pt>
                <c:pt idx="18">
                  <c:v>African</c:v>
                </c:pt>
                <c:pt idx="19">
                  <c:v>Any other Black background</c:v>
                </c:pt>
              </c:strCache>
            </c:strRef>
          </c:cat>
          <c:val>
            <c:numRef>
              <c:f>Ethnicity!$C$4:$C$23</c:f>
              <c:numCache>
                <c:formatCode>General</c:formatCode>
                <c:ptCount val="20"/>
                <c:pt idx="0">
                  <c:v>19</c:v>
                </c:pt>
                <c:pt idx="4">
                  <c:v>19</c:v>
                </c:pt>
                <c:pt idx="5">
                  <c:v>79</c:v>
                </c:pt>
                <c:pt idx="6">
                  <c:v>29366</c:v>
                </c:pt>
                <c:pt idx="7">
                  <c:v>550</c:v>
                </c:pt>
                <c:pt idx="8">
                  <c:v>831</c:v>
                </c:pt>
                <c:pt idx="9">
                  <c:v>11</c:v>
                </c:pt>
                <c:pt idx="10">
                  <c:v>7</c:v>
                </c:pt>
                <c:pt idx="11">
                  <c:v>34</c:v>
                </c:pt>
                <c:pt idx="12">
                  <c:v>30</c:v>
                </c:pt>
                <c:pt idx="13">
                  <c:v>88</c:v>
                </c:pt>
                <c:pt idx="14">
                  <c:v>15</c:v>
                </c:pt>
                <c:pt idx="16">
                  <c:v>14</c:v>
                </c:pt>
                <c:pt idx="17">
                  <c:v>27</c:v>
                </c:pt>
                <c:pt idx="1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F-5A4E-BFFB-A89C27889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0587408"/>
        <c:axId val="489768016"/>
      </c:barChart>
      <c:catAx>
        <c:axId val="49058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768016"/>
        <c:crosses val="autoZero"/>
        <c:auto val="1"/>
        <c:lblAlgn val="ctr"/>
        <c:lblOffset val="100"/>
        <c:noMultiLvlLbl val="0"/>
      </c:catAx>
      <c:valAx>
        <c:axId val="48976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8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Child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Ethnicity!$B$4:$B$23</c:f>
              <c:strCache>
                <c:ptCount val="20"/>
                <c:pt idx="0">
                  <c:v>White</c:v>
                </c:pt>
                <c:pt idx="1">
                  <c:v>Mixed</c:v>
                </c:pt>
                <c:pt idx="2">
                  <c:v>Asian/Asian British</c:v>
                </c:pt>
                <c:pt idx="3">
                  <c:v>Black/Black British</c:v>
                </c:pt>
                <c:pt idx="4">
                  <c:v>Chinese</c:v>
                </c:pt>
                <c:pt idx="5">
                  <c:v>Other Ethnic Group</c:v>
                </c:pt>
                <c:pt idx="6">
                  <c:v>British</c:v>
                </c:pt>
                <c:pt idx="7">
                  <c:v>Irish</c:v>
                </c:pt>
                <c:pt idx="8">
                  <c:v>Any other White background</c:v>
                </c:pt>
                <c:pt idx="9">
                  <c:v>White and Black Caribbean</c:v>
                </c:pt>
                <c:pt idx="10">
                  <c:v>White and Black African</c:v>
                </c:pt>
                <c:pt idx="11">
                  <c:v>White and Asian</c:v>
                </c:pt>
                <c:pt idx="12">
                  <c:v>Any other mixed background</c:v>
                </c:pt>
                <c:pt idx="13">
                  <c:v>Indian</c:v>
                </c:pt>
                <c:pt idx="14">
                  <c:v>Pakistani</c:v>
                </c:pt>
                <c:pt idx="15">
                  <c:v>Bangladeshi</c:v>
                </c:pt>
                <c:pt idx="16">
                  <c:v>Any of Asian background</c:v>
                </c:pt>
                <c:pt idx="17">
                  <c:v>Caribbean</c:v>
                </c:pt>
                <c:pt idx="18">
                  <c:v>African</c:v>
                </c:pt>
                <c:pt idx="19">
                  <c:v>Any other Black background</c:v>
                </c:pt>
              </c:strCache>
            </c:strRef>
          </c:cat>
          <c:val>
            <c:numRef>
              <c:f>Ethnicity!$D$4:$D$23</c:f>
              <c:numCache>
                <c:formatCode>General</c:formatCode>
                <c:ptCount val="20"/>
                <c:pt idx="0">
                  <c:v>9</c:v>
                </c:pt>
                <c:pt idx="4">
                  <c:v>41</c:v>
                </c:pt>
                <c:pt idx="5">
                  <c:v>83</c:v>
                </c:pt>
                <c:pt idx="6">
                  <c:v>22705</c:v>
                </c:pt>
                <c:pt idx="7">
                  <c:v>586</c:v>
                </c:pt>
                <c:pt idx="8">
                  <c:v>725</c:v>
                </c:pt>
                <c:pt idx="9">
                  <c:v>26</c:v>
                </c:pt>
                <c:pt idx="10">
                  <c:v>14</c:v>
                </c:pt>
                <c:pt idx="11">
                  <c:v>58</c:v>
                </c:pt>
                <c:pt idx="12">
                  <c:v>33</c:v>
                </c:pt>
                <c:pt idx="13">
                  <c:v>96</c:v>
                </c:pt>
                <c:pt idx="14">
                  <c:v>14</c:v>
                </c:pt>
                <c:pt idx="15">
                  <c:v>1</c:v>
                </c:pt>
                <c:pt idx="16">
                  <c:v>19</c:v>
                </c:pt>
                <c:pt idx="17">
                  <c:v>62</c:v>
                </c:pt>
                <c:pt idx="18">
                  <c:v>33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8-9F48-BD68-951BF5926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5597408"/>
        <c:axId val="495613328"/>
      </c:barChart>
      <c:catAx>
        <c:axId val="49559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613328"/>
        <c:crosses val="autoZero"/>
        <c:auto val="1"/>
        <c:lblAlgn val="ctr"/>
        <c:lblOffset val="100"/>
        <c:noMultiLvlLbl val="0"/>
      </c:catAx>
      <c:valAx>
        <c:axId val="49561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9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Ethnicity!$B$4:$B$23</c:f>
              <c:strCache>
                <c:ptCount val="20"/>
                <c:pt idx="0">
                  <c:v>White</c:v>
                </c:pt>
                <c:pt idx="1">
                  <c:v>Mixed</c:v>
                </c:pt>
                <c:pt idx="2">
                  <c:v>Asian/Asian British</c:v>
                </c:pt>
                <c:pt idx="3">
                  <c:v>Black/Black British</c:v>
                </c:pt>
                <c:pt idx="4">
                  <c:v>Chinese</c:v>
                </c:pt>
                <c:pt idx="5">
                  <c:v>Other Ethnic Group</c:v>
                </c:pt>
                <c:pt idx="6">
                  <c:v>British</c:v>
                </c:pt>
                <c:pt idx="7">
                  <c:v>Irish</c:v>
                </c:pt>
                <c:pt idx="8">
                  <c:v>Any other White background</c:v>
                </c:pt>
                <c:pt idx="9">
                  <c:v>White and Black Caribbean</c:v>
                </c:pt>
                <c:pt idx="10">
                  <c:v>White and Black African</c:v>
                </c:pt>
                <c:pt idx="11">
                  <c:v>White and Asian</c:v>
                </c:pt>
                <c:pt idx="12">
                  <c:v>Any other mixed background</c:v>
                </c:pt>
                <c:pt idx="13">
                  <c:v>Indian</c:v>
                </c:pt>
                <c:pt idx="14">
                  <c:v>Pakistani</c:v>
                </c:pt>
                <c:pt idx="15">
                  <c:v>Bangladeshi</c:v>
                </c:pt>
                <c:pt idx="16">
                  <c:v>Any of Asian background</c:v>
                </c:pt>
                <c:pt idx="17">
                  <c:v>Caribbean</c:v>
                </c:pt>
                <c:pt idx="18">
                  <c:v>African</c:v>
                </c:pt>
                <c:pt idx="19">
                  <c:v>Any other Black background</c:v>
                </c:pt>
              </c:strCache>
            </c:strRef>
          </c:cat>
          <c:val>
            <c:numRef>
              <c:f>Ethnicity!$E$4:$E$23</c:f>
              <c:numCache>
                <c:formatCode>General</c:formatCode>
                <c:ptCount val="20"/>
                <c:pt idx="0">
                  <c:v>20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46</c:v>
                </c:pt>
                <c:pt idx="5">
                  <c:v>161</c:v>
                </c:pt>
                <c:pt idx="6">
                  <c:v>29037</c:v>
                </c:pt>
                <c:pt idx="7">
                  <c:v>629</c:v>
                </c:pt>
                <c:pt idx="8">
                  <c:v>1257</c:v>
                </c:pt>
                <c:pt idx="9">
                  <c:v>18</c:v>
                </c:pt>
                <c:pt idx="10">
                  <c:v>16</c:v>
                </c:pt>
                <c:pt idx="11">
                  <c:v>45</c:v>
                </c:pt>
                <c:pt idx="12">
                  <c:v>41</c:v>
                </c:pt>
                <c:pt idx="13">
                  <c:v>191</c:v>
                </c:pt>
                <c:pt idx="14">
                  <c:v>41</c:v>
                </c:pt>
                <c:pt idx="15">
                  <c:v>2</c:v>
                </c:pt>
                <c:pt idx="16">
                  <c:v>71</c:v>
                </c:pt>
                <c:pt idx="17">
                  <c:v>71</c:v>
                </c:pt>
                <c:pt idx="18">
                  <c:v>107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D-3E49-97B3-5681AE056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7814304"/>
        <c:axId val="727816016"/>
      </c:barChart>
      <c:catAx>
        <c:axId val="727814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16016"/>
        <c:crosses val="autoZero"/>
        <c:auto val="1"/>
        <c:lblAlgn val="ctr"/>
        <c:lblOffset val="100"/>
        <c:noMultiLvlLbl val="0"/>
      </c:catAx>
      <c:valAx>
        <c:axId val="72781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81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Both Child +</a:t>
            </a:r>
            <a:r>
              <a:rPr lang="en-GB" baseline="0"/>
              <a:t> Adult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Ethnicity!$B$4:$B$23</c:f>
              <c:strCache>
                <c:ptCount val="20"/>
                <c:pt idx="0">
                  <c:v>White</c:v>
                </c:pt>
                <c:pt idx="1">
                  <c:v>Mixed</c:v>
                </c:pt>
                <c:pt idx="2">
                  <c:v>Asian/Asian British</c:v>
                </c:pt>
                <c:pt idx="3">
                  <c:v>Black/Black British</c:v>
                </c:pt>
                <c:pt idx="4">
                  <c:v>Chinese</c:v>
                </c:pt>
                <c:pt idx="5">
                  <c:v>Other Ethnic Group</c:v>
                </c:pt>
                <c:pt idx="6">
                  <c:v>British</c:v>
                </c:pt>
                <c:pt idx="7">
                  <c:v>Irish</c:v>
                </c:pt>
                <c:pt idx="8">
                  <c:v>Any other White background</c:v>
                </c:pt>
                <c:pt idx="9">
                  <c:v>White and Black Caribbean</c:v>
                </c:pt>
                <c:pt idx="10">
                  <c:v>White and Black African</c:v>
                </c:pt>
                <c:pt idx="11">
                  <c:v>White and Asian</c:v>
                </c:pt>
                <c:pt idx="12">
                  <c:v>Any other mixed background</c:v>
                </c:pt>
                <c:pt idx="13">
                  <c:v>Indian</c:v>
                </c:pt>
                <c:pt idx="14">
                  <c:v>Pakistani</c:v>
                </c:pt>
                <c:pt idx="15">
                  <c:v>Bangladeshi</c:v>
                </c:pt>
                <c:pt idx="16">
                  <c:v>Any of Asian background</c:v>
                </c:pt>
                <c:pt idx="17">
                  <c:v>Caribbean</c:v>
                </c:pt>
                <c:pt idx="18">
                  <c:v>African</c:v>
                </c:pt>
                <c:pt idx="19">
                  <c:v>Any other Black background</c:v>
                </c:pt>
              </c:strCache>
            </c:strRef>
          </c:cat>
          <c:val>
            <c:numRef>
              <c:f>Ethnicity!$F$4:$F$23</c:f>
              <c:numCache>
                <c:formatCode>General</c:formatCode>
                <c:ptCount val="20"/>
                <c:pt idx="0">
                  <c:v>77</c:v>
                </c:pt>
                <c:pt idx="1">
                  <c:v>6</c:v>
                </c:pt>
                <c:pt idx="2">
                  <c:v>1</c:v>
                </c:pt>
                <c:pt idx="4">
                  <c:v>258</c:v>
                </c:pt>
                <c:pt idx="5">
                  <c:v>553</c:v>
                </c:pt>
                <c:pt idx="6">
                  <c:v>61399</c:v>
                </c:pt>
                <c:pt idx="7">
                  <c:v>1961</c:v>
                </c:pt>
                <c:pt idx="8">
                  <c:v>3036</c:v>
                </c:pt>
                <c:pt idx="9">
                  <c:v>114</c:v>
                </c:pt>
                <c:pt idx="10">
                  <c:v>55</c:v>
                </c:pt>
                <c:pt idx="11">
                  <c:v>156</c:v>
                </c:pt>
                <c:pt idx="12">
                  <c:v>162</c:v>
                </c:pt>
                <c:pt idx="13">
                  <c:v>512</c:v>
                </c:pt>
                <c:pt idx="14">
                  <c:v>99</c:v>
                </c:pt>
                <c:pt idx="15">
                  <c:v>16</c:v>
                </c:pt>
                <c:pt idx="16">
                  <c:v>158</c:v>
                </c:pt>
                <c:pt idx="17">
                  <c:v>507</c:v>
                </c:pt>
                <c:pt idx="18">
                  <c:v>298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1-CE4C-8B6A-35B6A910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9024032"/>
        <c:axId val="2099133072"/>
      </c:barChart>
      <c:catAx>
        <c:axId val="209902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133072"/>
        <c:crosses val="autoZero"/>
        <c:auto val="1"/>
        <c:lblAlgn val="ctr"/>
        <c:lblOffset val="100"/>
        <c:noMultiLvlLbl val="0"/>
      </c:catAx>
      <c:valAx>
        <c:axId val="209913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02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1</xdr:row>
      <xdr:rowOff>63500</xdr:rowOff>
    </xdr:from>
    <xdr:to>
      <xdr:col>12</xdr:col>
      <xdr:colOff>793750</xdr:colOff>
      <xdr:row>14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C04625-B561-BEAE-227D-A61321A7E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298450</xdr:colOff>
      <xdr:row>17</xdr:row>
      <xdr:rowOff>76200</xdr:rowOff>
    </xdr:from>
    <xdr:to>
      <xdr:col>12</xdr:col>
      <xdr:colOff>742950</xdr:colOff>
      <xdr:row>31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C0059A-5804-7DCA-5E9B-114FBE855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209550</xdr:colOff>
      <xdr:row>5</xdr:row>
      <xdr:rowOff>139700</xdr:rowOff>
    </xdr:from>
    <xdr:to>
      <xdr:col>17</xdr:col>
      <xdr:colOff>654050</xdr:colOff>
      <xdr:row>19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A6132A-107E-EC84-C990-3C29D81CB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615950</xdr:colOff>
      <xdr:row>20</xdr:row>
      <xdr:rowOff>76200</xdr:rowOff>
    </xdr:from>
    <xdr:to>
      <xdr:col>18</xdr:col>
      <xdr:colOff>234950</xdr:colOff>
      <xdr:row>33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E9F5D4-38E4-345D-D4DE-9AA0803DD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21E2-928B-D44A-A5DC-DE4C1C635E2E}">
  <dimension ref="A1:H226"/>
  <sheetViews>
    <sheetView tabSelected="1" workbookViewId="0">
      <selection activeCell="B231" sqref="B231"/>
    </sheetView>
  </sheetViews>
  <sheetFormatPr defaultColWidth="11" defaultRowHeight="15.95"/>
  <cols>
    <col min="1" max="1" width="60" customWidth="1"/>
    <col min="2" max="3" width="11" customWidth="1"/>
    <col min="4" max="4" width="22.625" style="2" customWidth="1"/>
    <col min="5" max="5" width="29.5" customWidth="1"/>
    <col min="6" max="6" width="15.125" customWidth="1"/>
    <col min="8" max="8" width="14.625" customWidth="1"/>
  </cols>
  <sheetData>
    <row r="1" spans="1:8" s="36" customFormat="1" ht="15.75">
      <c r="A1" s="50" t="s">
        <v>0</v>
      </c>
      <c r="D1" s="37"/>
    </row>
    <row r="2" spans="1:8" s="36" customFormat="1">
      <c r="A2" s="36" t="s">
        <v>1</v>
      </c>
      <c r="B2" s="36" t="s">
        <v>2</v>
      </c>
      <c r="D2" s="37" t="s">
        <v>3</v>
      </c>
      <c r="E2" s="36" t="s">
        <v>4</v>
      </c>
      <c r="F2" s="36" t="s">
        <v>5</v>
      </c>
      <c r="G2" s="36" t="s">
        <v>6</v>
      </c>
      <c r="H2" s="36" t="s">
        <v>7</v>
      </c>
    </row>
    <row r="3" spans="1:8" s="36" customFormat="1">
      <c r="A3" s="38" t="s">
        <v>8</v>
      </c>
      <c r="B3" s="38"/>
      <c r="C3" s="38"/>
      <c r="D3" s="39"/>
    </row>
    <row r="4" spans="1:8" s="36" customFormat="1">
      <c r="A4" s="36" t="s">
        <v>9</v>
      </c>
      <c r="B4" s="36" t="s">
        <v>10</v>
      </c>
      <c r="D4" s="37">
        <v>21000</v>
      </c>
    </row>
    <row r="5" spans="1:8" s="36" customFormat="1">
      <c r="A5" s="36" t="s">
        <v>11</v>
      </c>
      <c r="B5" s="36" t="s">
        <v>10</v>
      </c>
      <c r="D5" s="37">
        <v>826</v>
      </c>
    </row>
    <row r="6" spans="1:8" s="36" customFormat="1">
      <c r="A6" s="36" t="s">
        <v>12</v>
      </c>
      <c r="B6" s="36" t="s">
        <v>10</v>
      </c>
      <c r="D6" s="37">
        <v>3426</v>
      </c>
    </row>
    <row r="7" spans="1:8" s="36" customFormat="1">
      <c r="A7" s="36" t="s">
        <v>13</v>
      </c>
      <c r="B7" s="36" t="s">
        <v>14</v>
      </c>
      <c r="D7" s="37">
        <v>22001</v>
      </c>
    </row>
    <row r="8" spans="1:8" s="36" customFormat="1">
      <c r="A8" s="36" t="s">
        <v>15</v>
      </c>
      <c r="B8" s="36" t="s">
        <v>16</v>
      </c>
      <c r="D8" s="37">
        <v>75</v>
      </c>
    </row>
    <row r="9" spans="1:8" s="36" customFormat="1">
      <c r="A9" s="36" t="s">
        <v>17</v>
      </c>
      <c r="B9" s="36" t="s">
        <v>18</v>
      </c>
      <c r="D9" s="37">
        <v>21003</v>
      </c>
    </row>
    <row r="10" spans="1:8" s="36" customFormat="1">
      <c r="A10" s="36" t="s">
        <v>19</v>
      </c>
      <c r="B10" s="36" t="s">
        <v>18</v>
      </c>
      <c r="D10" s="37"/>
    </row>
    <row r="11" spans="1:8" s="36" customFormat="1" ht="237.95">
      <c r="A11" s="36" t="s">
        <v>20</v>
      </c>
      <c r="B11" s="40" t="s">
        <v>21</v>
      </c>
      <c r="C11" s="40"/>
      <c r="D11" s="37">
        <v>10</v>
      </c>
    </row>
    <row r="12" spans="1:8" s="41" customFormat="1">
      <c r="A12" s="41" t="s">
        <v>22</v>
      </c>
      <c r="B12" s="41" t="s">
        <v>23</v>
      </c>
      <c r="D12" s="42">
        <v>22620</v>
      </c>
    </row>
    <row r="13" spans="1:8" s="41" customFormat="1">
      <c r="A13" s="41" t="s">
        <v>24</v>
      </c>
      <c r="B13" s="41" t="s">
        <v>23</v>
      </c>
      <c r="D13" s="42">
        <v>22630</v>
      </c>
    </row>
    <row r="14" spans="1:8" s="41" customFormat="1">
      <c r="A14" s="41" t="s">
        <v>25</v>
      </c>
      <c r="B14" s="41" t="s">
        <v>23</v>
      </c>
      <c r="D14" s="42">
        <v>22631</v>
      </c>
    </row>
    <row r="15" spans="1:8" s="41" customFormat="1">
      <c r="A15" s="41" t="s">
        <v>26</v>
      </c>
      <c r="B15" s="41" t="s">
        <v>23</v>
      </c>
      <c r="D15" s="42">
        <v>22640</v>
      </c>
    </row>
    <row r="16" spans="1:8" s="41" customFormat="1">
      <c r="A16" s="41" t="s">
        <v>27</v>
      </c>
      <c r="B16" s="41" t="s">
        <v>23</v>
      </c>
      <c r="D16" s="42">
        <v>22641</v>
      </c>
    </row>
    <row r="17" spans="1:7" s="41" customFormat="1">
      <c r="A17" s="41" t="s">
        <v>28</v>
      </c>
      <c r="B17" s="41" t="s">
        <v>23</v>
      </c>
      <c r="D17" s="42">
        <v>22642</v>
      </c>
    </row>
    <row r="18" spans="1:7" s="41" customFormat="1">
      <c r="A18" s="41" t="s">
        <v>29</v>
      </c>
      <c r="B18" s="41" t="s">
        <v>23</v>
      </c>
      <c r="D18" s="42">
        <v>22643</v>
      </c>
    </row>
    <row r="19" spans="1:7" s="41" customFormat="1">
      <c r="A19" s="41" t="s">
        <v>30</v>
      </c>
      <c r="B19" s="41" t="s">
        <v>23</v>
      </c>
      <c r="D19" s="42">
        <v>22644</v>
      </c>
    </row>
    <row r="20" spans="1:7" s="41" customFormat="1">
      <c r="A20" s="41" t="s">
        <v>31</v>
      </c>
      <c r="B20" s="41" t="s">
        <v>23</v>
      </c>
      <c r="D20" s="42">
        <v>22645</v>
      </c>
    </row>
    <row r="21" spans="1:7" s="41" customFormat="1">
      <c r="A21" s="41" t="s">
        <v>32</v>
      </c>
      <c r="B21" s="41" t="s">
        <v>23</v>
      </c>
      <c r="D21" s="42">
        <v>22650</v>
      </c>
    </row>
    <row r="22" spans="1:7" s="41" customFormat="1">
      <c r="A22" s="41" t="s">
        <v>33</v>
      </c>
      <c r="B22" s="41" t="s">
        <v>23</v>
      </c>
      <c r="D22" s="42">
        <v>22651</v>
      </c>
    </row>
    <row r="23" spans="1:7" s="41" customFormat="1">
      <c r="A23" s="41" t="s">
        <v>34</v>
      </c>
      <c r="B23" s="41" t="s">
        <v>23</v>
      </c>
      <c r="D23" s="42">
        <v>22652</v>
      </c>
    </row>
    <row r="24" spans="1:7" s="43" customFormat="1">
      <c r="A24" s="41" t="s">
        <v>35</v>
      </c>
      <c r="B24" s="41" t="s">
        <v>23</v>
      </c>
      <c r="C24" s="41"/>
      <c r="D24" s="42">
        <v>22653</v>
      </c>
    </row>
    <row r="25" spans="1:7" s="43" customFormat="1">
      <c r="A25" s="41" t="s">
        <v>36</v>
      </c>
      <c r="B25" s="41" t="s">
        <v>23</v>
      </c>
      <c r="C25" s="41"/>
      <c r="D25" s="42">
        <v>22654</v>
      </c>
    </row>
    <row r="26" spans="1:7" s="41" customFormat="1">
      <c r="A26" s="41" t="s">
        <v>37</v>
      </c>
      <c r="B26" s="41" t="s">
        <v>23</v>
      </c>
      <c r="D26" s="42">
        <v>22655</v>
      </c>
    </row>
    <row r="27" spans="1:7" s="36" customFormat="1">
      <c r="A27" s="44"/>
      <c r="B27" s="38"/>
      <c r="C27" s="38"/>
      <c r="D27" s="39"/>
    </row>
    <row r="28" spans="1:7" s="36" customFormat="1">
      <c r="A28" s="38" t="s">
        <v>38</v>
      </c>
      <c r="B28" s="38"/>
      <c r="C28" s="38"/>
      <c r="D28" s="39"/>
    </row>
    <row r="29" spans="1:7" s="36" customFormat="1">
      <c r="A29" s="36" t="s">
        <v>39</v>
      </c>
      <c r="B29" s="36" t="s">
        <v>40</v>
      </c>
      <c r="D29" s="37">
        <v>4501</v>
      </c>
      <c r="G29" s="36" t="s">
        <v>41</v>
      </c>
    </row>
    <row r="30" spans="1:7" s="36" customFormat="1">
      <c r="A30" s="36" t="s">
        <v>42</v>
      </c>
      <c r="B30" s="36" t="s">
        <v>43</v>
      </c>
      <c r="D30" s="37">
        <v>2110</v>
      </c>
      <c r="G30" s="36" t="s">
        <v>44</v>
      </c>
    </row>
    <row r="31" spans="1:7" s="41" customFormat="1">
      <c r="A31" s="41" t="s">
        <v>45</v>
      </c>
      <c r="B31" s="41" t="s">
        <v>46</v>
      </c>
      <c r="D31" s="45"/>
      <c r="G31" s="41" t="s">
        <v>41</v>
      </c>
    </row>
    <row r="32" spans="1:7" s="36" customFormat="1">
      <c r="A32" s="36" t="s">
        <v>47</v>
      </c>
      <c r="B32" s="36" t="s">
        <v>46</v>
      </c>
      <c r="D32" s="37"/>
      <c r="G32" s="36" t="s">
        <v>41</v>
      </c>
    </row>
    <row r="33" spans="1:7" s="41" customFormat="1">
      <c r="A33" s="41" t="s">
        <v>48</v>
      </c>
      <c r="B33" s="41" t="s">
        <v>46</v>
      </c>
      <c r="D33" s="45"/>
      <c r="G33" s="41" t="s">
        <v>41</v>
      </c>
    </row>
    <row r="34" spans="1:7" s="41" customFormat="1">
      <c r="A34" s="41" t="s">
        <v>49</v>
      </c>
      <c r="B34" s="41" t="s">
        <v>46</v>
      </c>
      <c r="D34" s="45"/>
      <c r="G34" s="41" t="s">
        <v>41</v>
      </c>
    </row>
    <row r="35" spans="1:7" s="41" customFormat="1">
      <c r="A35" s="41" t="s">
        <v>50</v>
      </c>
      <c r="B35" s="41" t="s">
        <v>51</v>
      </c>
      <c r="D35" s="45">
        <v>29082</v>
      </c>
    </row>
    <row r="36" spans="1:7" s="41" customFormat="1">
      <c r="A36" s="41" t="s">
        <v>52</v>
      </c>
      <c r="B36" s="41" t="s">
        <v>51</v>
      </c>
      <c r="D36" s="45">
        <v>29087</v>
      </c>
      <c r="G36" s="41" t="s">
        <v>53</v>
      </c>
    </row>
    <row r="37" spans="1:7" s="36" customFormat="1">
      <c r="A37" s="36" t="s">
        <v>54</v>
      </c>
      <c r="B37" s="36" t="s">
        <v>51</v>
      </c>
      <c r="D37" s="37">
        <v>29088</v>
      </c>
      <c r="G37" s="41" t="s">
        <v>53</v>
      </c>
    </row>
    <row r="38" spans="1:7" s="41" customFormat="1">
      <c r="A38" s="41" t="s">
        <v>55</v>
      </c>
      <c r="B38" s="41" t="s">
        <v>51</v>
      </c>
      <c r="D38" s="45">
        <v>29086</v>
      </c>
      <c r="G38" s="41" t="s">
        <v>53</v>
      </c>
    </row>
    <row r="39" spans="1:7" s="41" customFormat="1">
      <c r="A39" s="41" t="s">
        <v>56</v>
      </c>
      <c r="B39" s="41" t="s">
        <v>51</v>
      </c>
      <c r="D39" s="45">
        <v>29090</v>
      </c>
      <c r="G39" s="41" t="s">
        <v>53</v>
      </c>
    </row>
    <row r="40" spans="1:7" s="41" customFormat="1">
      <c r="A40" s="41" t="s">
        <v>57</v>
      </c>
      <c r="B40" s="41" t="s">
        <v>51</v>
      </c>
      <c r="D40" s="45">
        <v>29089</v>
      </c>
      <c r="G40" s="41" t="s">
        <v>53</v>
      </c>
    </row>
    <row r="41" spans="1:7" s="36" customFormat="1">
      <c r="A41" s="36" t="s">
        <v>58</v>
      </c>
      <c r="B41" s="36" t="s">
        <v>51</v>
      </c>
      <c r="D41" s="37">
        <v>29078</v>
      </c>
      <c r="G41" s="41" t="s">
        <v>53</v>
      </c>
    </row>
    <row r="42" spans="1:7" s="36" customFormat="1" ht="17.100000000000001" customHeight="1">
      <c r="A42" s="36" t="s">
        <v>59</v>
      </c>
      <c r="B42" s="36" t="s">
        <v>51</v>
      </c>
      <c r="D42" s="37">
        <v>29076</v>
      </c>
      <c r="G42" s="41" t="s">
        <v>53</v>
      </c>
    </row>
    <row r="43" spans="1:7" s="41" customFormat="1">
      <c r="A43" s="41" t="s">
        <v>60</v>
      </c>
      <c r="B43" s="41" t="s">
        <v>51</v>
      </c>
      <c r="D43" s="45">
        <v>29083</v>
      </c>
      <c r="G43" s="41" t="s">
        <v>53</v>
      </c>
    </row>
    <row r="44" spans="1:7" s="41" customFormat="1">
      <c r="A44" s="41" t="s">
        <v>61</v>
      </c>
      <c r="B44" s="41" t="s">
        <v>51</v>
      </c>
      <c r="D44" s="45">
        <v>29077</v>
      </c>
      <c r="G44" s="41" t="s">
        <v>53</v>
      </c>
    </row>
    <row r="45" spans="1:7" s="41" customFormat="1" ht="17.100000000000001" customHeight="1">
      <c r="A45" s="41" t="s">
        <v>62</v>
      </c>
      <c r="B45" s="41" t="s">
        <v>51</v>
      </c>
      <c r="D45" s="45">
        <v>29085</v>
      </c>
      <c r="G45" s="41" t="s">
        <v>53</v>
      </c>
    </row>
    <row r="46" spans="1:7" s="41" customFormat="1">
      <c r="A46" s="41" t="s">
        <v>63</v>
      </c>
      <c r="B46" s="41" t="s">
        <v>51</v>
      </c>
      <c r="D46" s="45">
        <v>29084</v>
      </c>
      <c r="G46" s="41" t="s">
        <v>53</v>
      </c>
    </row>
    <row r="47" spans="1:7" s="41" customFormat="1">
      <c r="A47" s="41" t="s">
        <v>64</v>
      </c>
      <c r="B47" s="41" t="s">
        <v>51</v>
      </c>
      <c r="D47" s="45">
        <v>29079</v>
      </c>
      <c r="G47" s="41" t="s">
        <v>53</v>
      </c>
    </row>
    <row r="48" spans="1:7" s="36" customFormat="1">
      <c r="A48" s="36" t="s">
        <v>65</v>
      </c>
      <c r="B48" s="36" t="s">
        <v>51</v>
      </c>
      <c r="D48" s="37">
        <v>29080</v>
      </c>
      <c r="G48" s="41" t="s">
        <v>53</v>
      </c>
    </row>
    <row r="49" spans="1:8" s="36" customFormat="1" ht="17.100000000000001" customHeight="1">
      <c r="A49" s="36" t="s">
        <v>66</v>
      </c>
      <c r="B49" s="36" t="s">
        <v>51</v>
      </c>
      <c r="D49" s="37">
        <v>29081</v>
      </c>
      <c r="G49" s="41" t="s">
        <v>53</v>
      </c>
    </row>
    <row r="50" spans="1:8" s="36" customFormat="1">
      <c r="A50" s="46" t="s">
        <v>67</v>
      </c>
      <c r="B50" s="36" t="s">
        <v>68</v>
      </c>
      <c r="D50" s="37">
        <v>29000</v>
      </c>
      <c r="H50" s="36" t="s">
        <v>69</v>
      </c>
    </row>
    <row r="51" spans="1:8" s="36" customFormat="1">
      <c r="A51" s="46" t="s">
        <v>70</v>
      </c>
      <c r="B51" s="36" t="s">
        <v>71</v>
      </c>
      <c r="D51" s="37">
        <v>29177</v>
      </c>
    </row>
    <row r="52" spans="1:8" s="36" customFormat="1">
      <c r="A52" s="36" t="s">
        <v>72</v>
      </c>
      <c r="B52" s="36" t="s">
        <v>73</v>
      </c>
      <c r="D52" s="47">
        <v>20447</v>
      </c>
    </row>
    <row r="53" spans="1:8" s="36" customFormat="1" ht="17.100000000000001" customHeight="1">
      <c r="A53" s="36" t="s">
        <v>59</v>
      </c>
      <c r="B53" s="36" t="s">
        <v>74</v>
      </c>
      <c r="D53" s="47">
        <v>20489</v>
      </c>
    </row>
    <row r="54" spans="1:8" s="36" customFormat="1">
      <c r="A54" s="36" t="s">
        <v>61</v>
      </c>
      <c r="B54" s="36" t="s">
        <v>74</v>
      </c>
      <c r="D54" s="47">
        <v>20488</v>
      </c>
    </row>
    <row r="55" spans="1:8" s="36" customFormat="1" ht="17.100000000000001" customHeight="1">
      <c r="A55" s="36" t="s">
        <v>58</v>
      </c>
      <c r="B55" s="36" t="s">
        <v>74</v>
      </c>
      <c r="D55" s="47">
        <v>20487</v>
      </c>
    </row>
    <row r="56" spans="1:8" s="36" customFormat="1" ht="17.100000000000001" customHeight="1">
      <c r="A56" s="36" t="s">
        <v>64</v>
      </c>
      <c r="B56" s="36" t="s">
        <v>74</v>
      </c>
      <c r="D56" s="47">
        <v>20490</v>
      </c>
    </row>
    <row r="57" spans="1:8" s="36" customFormat="1">
      <c r="A57" s="36" t="s">
        <v>65</v>
      </c>
      <c r="B57" s="36" t="s">
        <v>74</v>
      </c>
      <c r="D57" s="47">
        <v>20491</v>
      </c>
    </row>
    <row r="58" spans="1:8" s="36" customFormat="1" ht="17.100000000000001" customHeight="1">
      <c r="A58" s="36" t="s">
        <v>75</v>
      </c>
      <c r="B58" s="36" t="s">
        <v>74</v>
      </c>
      <c r="D58" s="47">
        <v>20522</v>
      </c>
    </row>
    <row r="59" spans="1:8" s="36" customFormat="1">
      <c r="A59" s="36" t="s">
        <v>60</v>
      </c>
      <c r="B59" s="36" t="s">
        <v>74</v>
      </c>
      <c r="D59" s="47">
        <v>20523</v>
      </c>
    </row>
    <row r="60" spans="1:8" s="36" customFormat="1">
      <c r="A60" s="36" t="s">
        <v>50</v>
      </c>
      <c r="B60" s="36" t="s">
        <v>74</v>
      </c>
      <c r="D60" s="47">
        <v>20521</v>
      </c>
    </row>
    <row r="61" spans="1:8" s="36" customFormat="1">
      <c r="A61" s="36" t="s">
        <v>63</v>
      </c>
      <c r="B61" s="36" t="s">
        <v>74</v>
      </c>
      <c r="D61" s="47">
        <v>20524</v>
      </c>
    </row>
    <row r="62" spans="1:8" s="36" customFormat="1" ht="17.100000000000001" customHeight="1">
      <c r="A62" s="36" t="s">
        <v>76</v>
      </c>
      <c r="B62" s="36" t="s">
        <v>74</v>
      </c>
      <c r="D62" s="47">
        <v>20525</v>
      </c>
    </row>
    <row r="63" spans="1:8" s="36" customFormat="1">
      <c r="A63" s="36" t="s">
        <v>77</v>
      </c>
      <c r="B63" s="36" t="s">
        <v>74</v>
      </c>
      <c r="D63" s="47">
        <v>20531</v>
      </c>
    </row>
    <row r="64" spans="1:8" s="36" customFormat="1">
      <c r="A64" s="36" t="s">
        <v>78</v>
      </c>
      <c r="B64" s="36" t="s">
        <v>74</v>
      </c>
      <c r="D64" s="47">
        <v>20529</v>
      </c>
    </row>
    <row r="65" spans="1:7" s="36" customFormat="1">
      <c r="A65" s="36" t="s">
        <v>79</v>
      </c>
      <c r="B65" s="36" t="s">
        <v>74</v>
      </c>
      <c r="D65" s="47">
        <v>20526</v>
      </c>
    </row>
    <row r="66" spans="1:7" s="36" customFormat="1">
      <c r="A66" s="36" t="s">
        <v>80</v>
      </c>
      <c r="B66" s="36" t="s">
        <v>74</v>
      </c>
      <c r="D66" s="47">
        <v>20530</v>
      </c>
    </row>
    <row r="67" spans="1:7" s="36" customFormat="1">
      <c r="A67" s="36" t="s">
        <v>81</v>
      </c>
      <c r="B67" s="36" t="s">
        <v>74</v>
      </c>
      <c r="D67" s="47">
        <v>20528</v>
      </c>
    </row>
    <row r="68" spans="1:7" s="36" customFormat="1">
      <c r="A68" s="36" t="s">
        <v>82</v>
      </c>
      <c r="B68" s="36" t="s">
        <v>74</v>
      </c>
      <c r="D68" s="47">
        <v>20527</v>
      </c>
    </row>
    <row r="69" spans="1:7" s="36" customFormat="1">
      <c r="A69" s="36" t="s">
        <v>83</v>
      </c>
      <c r="B69" s="36" t="s">
        <v>74</v>
      </c>
      <c r="D69" s="47">
        <v>20497</v>
      </c>
    </row>
    <row r="70" spans="1:7" s="36" customFormat="1">
      <c r="A70" s="36" t="s">
        <v>84</v>
      </c>
      <c r="B70" s="36" t="s">
        <v>74</v>
      </c>
      <c r="D70" s="47">
        <v>20498</v>
      </c>
    </row>
    <row r="71" spans="1:7" s="36" customFormat="1">
      <c r="A71" s="36" t="s">
        <v>85</v>
      </c>
      <c r="B71" s="36" t="s">
        <v>74</v>
      </c>
      <c r="D71" s="47">
        <v>20495</v>
      </c>
    </row>
    <row r="72" spans="1:7" s="36" customFormat="1">
      <c r="A72" s="36" t="s">
        <v>86</v>
      </c>
      <c r="B72" s="36" t="s">
        <v>74</v>
      </c>
      <c r="D72" s="47">
        <v>20496</v>
      </c>
    </row>
    <row r="73" spans="1:7" s="36" customFormat="1">
      <c r="A73" s="36" t="s">
        <v>87</v>
      </c>
      <c r="B73" s="36" t="s">
        <v>74</v>
      </c>
      <c r="D73" s="47">
        <v>20494</v>
      </c>
    </row>
    <row r="74" spans="1:7" s="36" customFormat="1">
      <c r="A74" s="46"/>
      <c r="D74" s="47"/>
    </row>
    <row r="75" spans="1:7" s="36" customFormat="1">
      <c r="A75" s="38" t="s">
        <v>88</v>
      </c>
      <c r="D75" s="37"/>
    </row>
    <row r="76" spans="1:7" s="36" customFormat="1">
      <c r="A76" s="36" t="s">
        <v>89</v>
      </c>
      <c r="B76" s="36" t="s">
        <v>90</v>
      </c>
      <c r="D76" s="37">
        <v>1160</v>
      </c>
    </row>
    <row r="77" spans="1:7" s="36" customFormat="1">
      <c r="A77" s="36" t="s">
        <v>91</v>
      </c>
      <c r="B77" s="36" t="s">
        <v>90</v>
      </c>
      <c r="D77" s="37">
        <v>1170</v>
      </c>
    </row>
    <row r="78" spans="1:7" s="36" customFormat="1">
      <c r="A78" s="36" t="s">
        <v>92</v>
      </c>
      <c r="B78" s="36" t="s">
        <v>90</v>
      </c>
      <c r="D78" s="37">
        <v>1190</v>
      </c>
    </row>
    <row r="79" spans="1:7" s="36" customFormat="1">
      <c r="A79" s="36" t="s">
        <v>93</v>
      </c>
      <c r="B79" s="36" t="s">
        <v>90</v>
      </c>
      <c r="D79" s="37">
        <v>1200</v>
      </c>
    </row>
    <row r="80" spans="1:7" s="36" customFormat="1">
      <c r="A80" s="36" t="s">
        <v>94</v>
      </c>
      <c r="B80" s="36" t="s">
        <v>90</v>
      </c>
      <c r="D80" s="37">
        <v>1210</v>
      </c>
      <c r="G80" s="36" t="s">
        <v>95</v>
      </c>
    </row>
    <row r="81" spans="1:7" s="36" customFormat="1">
      <c r="A81" s="36" t="s">
        <v>96</v>
      </c>
      <c r="B81" s="36" t="s">
        <v>90</v>
      </c>
      <c r="D81" s="37">
        <v>1220</v>
      </c>
    </row>
    <row r="82" spans="1:7" s="41" customFormat="1">
      <c r="A82" s="41" t="s">
        <v>97</v>
      </c>
      <c r="B82" s="41" t="s">
        <v>98</v>
      </c>
      <c r="D82" s="45">
        <v>29022</v>
      </c>
    </row>
    <row r="83" spans="1:7" s="36" customFormat="1">
      <c r="A83" s="36" t="s">
        <v>99</v>
      </c>
      <c r="B83" s="36" t="s">
        <v>98</v>
      </c>
      <c r="D83" s="37">
        <v>29025</v>
      </c>
    </row>
    <row r="84" spans="1:7" s="36" customFormat="1">
      <c r="A84" s="36" t="s">
        <v>100</v>
      </c>
      <c r="B84" s="36" t="s">
        <v>98</v>
      </c>
      <c r="D84" s="37">
        <v>29017</v>
      </c>
      <c r="G84" s="36" t="s">
        <v>95</v>
      </c>
    </row>
    <row r="85" spans="1:7" s="36" customFormat="1">
      <c r="A85" s="36" t="s">
        <v>101</v>
      </c>
      <c r="B85" s="36" t="s">
        <v>98</v>
      </c>
      <c r="D85" s="37">
        <v>29023</v>
      </c>
    </row>
    <row r="86" spans="1:7" s="36" customFormat="1">
      <c r="A86" s="36" t="s">
        <v>102</v>
      </c>
      <c r="B86" s="36" t="s">
        <v>98</v>
      </c>
      <c r="D86" s="37">
        <v>29004</v>
      </c>
    </row>
    <row r="87" spans="1:7" s="36" customFormat="1">
      <c r="A87" s="36" t="s">
        <v>103</v>
      </c>
      <c r="B87" s="36" t="s">
        <v>98</v>
      </c>
      <c r="D87" s="37">
        <v>29024</v>
      </c>
    </row>
    <row r="88" spans="1:7" s="36" customFormat="1">
      <c r="A88" s="36" t="s">
        <v>104</v>
      </c>
      <c r="B88" s="36" t="s">
        <v>105</v>
      </c>
      <c r="D88" s="47">
        <v>28687</v>
      </c>
    </row>
    <row r="89" spans="1:7" s="36" customFormat="1">
      <c r="A89" s="36" t="s">
        <v>106</v>
      </c>
      <c r="B89" s="36" t="s">
        <v>105</v>
      </c>
      <c r="D89" s="47">
        <v>28688</v>
      </c>
    </row>
    <row r="90" spans="1:7" s="36" customFormat="1">
      <c r="A90" s="36" t="s">
        <v>107</v>
      </c>
      <c r="B90" s="36" t="s">
        <v>105</v>
      </c>
      <c r="D90" s="47">
        <v>28689</v>
      </c>
    </row>
    <row r="91" spans="1:7" s="36" customFormat="1">
      <c r="A91" s="36" t="s">
        <v>108</v>
      </c>
      <c r="B91" s="36" t="s">
        <v>105</v>
      </c>
      <c r="D91" s="47">
        <v>28690</v>
      </c>
    </row>
    <row r="92" spans="1:7" s="36" customFormat="1">
      <c r="A92" s="36" t="s">
        <v>109</v>
      </c>
      <c r="B92" s="36" t="s">
        <v>105</v>
      </c>
      <c r="D92" s="47">
        <v>28691</v>
      </c>
    </row>
    <row r="93" spans="1:7" s="36" customFormat="1">
      <c r="A93" s="36" t="s">
        <v>110</v>
      </c>
      <c r="B93" s="36" t="s">
        <v>105</v>
      </c>
      <c r="D93" s="47">
        <v>28692</v>
      </c>
    </row>
    <row r="94" spans="1:7" s="36" customFormat="1">
      <c r="A94" s="36" t="s">
        <v>111</v>
      </c>
      <c r="B94" s="36" t="s">
        <v>105</v>
      </c>
      <c r="D94" s="47">
        <v>28693</v>
      </c>
    </row>
    <row r="95" spans="1:7" s="36" customFormat="1">
      <c r="A95" s="36" t="s">
        <v>112</v>
      </c>
      <c r="B95" s="36" t="s">
        <v>105</v>
      </c>
      <c r="D95" s="47">
        <v>28694</v>
      </c>
    </row>
    <row r="96" spans="1:7" s="36" customFormat="1">
      <c r="A96" s="36" t="s">
        <v>113</v>
      </c>
      <c r="B96" s="36" t="s">
        <v>105</v>
      </c>
      <c r="D96" s="47">
        <v>28695</v>
      </c>
    </row>
    <row r="97" spans="1:7" s="36" customFormat="1">
      <c r="A97" s="36" t="s">
        <v>114</v>
      </c>
      <c r="B97" s="36" t="s">
        <v>105</v>
      </c>
      <c r="D97" s="47">
        <v>28696</v>
      </c>
    </row>
    <row r="98" spans="1:7" s="36" customFormat="1">
      <c r="A98" s="36" t="s">
        <v>115</v>
      </c>
      <c r="B98" s="36" t="s">
        <v>105</v>
      </c>
      <c r="D98" s="47">
        <v>28697</v>
      </c>
    </row>
    <row r="99" spans="1:7" s="36" customFormat="1">
      <c r="A99" s="36" t="s">
        <v>116</v>
      </c>
      <c r="B99" s="36" t="s">
        <v>105</v>
      </c>
      <c r="D99" s="47">
        <v>28698</v>
      </c>
    </row>
    <row r="100" spans="1:7" s="36" customFormat="1">
      <c r="A100" s="36" t="s">
        <v>117</v>
      </c>
      <c r="B100" s="36" t="s">
        <v>105</v>
      </c>
      <c r="D100" s="47">
        <v>28699</v>
      </c>
    </row>
    <row r="101" spans="1:7" s="36" customFormat="1">
      <c r="A101" s="36" t="s">
        <v>118</v>
      </c>
      <c r="B101" s="36" t="s">
        <v>105</v>
      </c>
      <c r="D101" s="47">
        <v>28700</v>
      </c>
    </row>
    <row r="102" spans="1:7" s="36" customFormat="1">
      <c r="A102" s="46" t="s">
        <v>119</v>
      </c>
      <c r="B102" s="36" t="s">
        <v>105</v>
      </c>
      <c r="D102" s="47">
        <v>28701</v>
      </c>
    </row>
    <row r="103" spans="1:7" s="36" customFormat="1" ht="17.100000000000001" customHeight="1">
      <c r="A103" s="36" t="s">
        <v>120</v>
      </c>
      <c r="B103" s="36" t="s">
        <v>121</v>
      </c>
      <c r="D103" s="37">
        <v>20523</v>
      </c>
    </row>
    <row r="104" spans="1:7" s="36" customFormat="1" ht="17.100000000000001" customHeight="1">
      <c r="A104" s="36" t="s">
        <v>122</v>
      </c>
      <c r="B104" s="36" t="s">
        <v>121</v>
      </c>
      <c r="D104" s="37">
        <v>20519</v>
      </c>
    </row>
    <row r="105" spans="1:7" s="36" customFormat="1" ht="17.100000000000001" customHeight="1">
      <c r="A105" s="36" t="s">
        <v>99</v>
      </c>
      <c r="B105" s="36" t="s">
        <v>121</v>
      </c>
      <c r="D105" s="37">
        <v>20534</v>
      </c>
    </row>
    <row r="106" spans="1:7" s="36" customFormat="1" ht="17.100000000000001" customHeight="1">
      <c r="A106" s="36" t="s">
        <v>101</v>
      </c>
      <c r="B106" s="36" t="s">
        <v>121</v>
      </c>
      <c r="D106" s="37">
        <v>20533</v>
      </c>
    </row>
    <row r="107" spans="1:7" s="36" customFormat="1" ht="17.100000000000001" customHeight="1">
      <c r="A107" s="36" t="s">
        <v>102</v>
      </c>
      <c r="B107" s="36" t="s">
        <v>121</v>
      </c>
      <c r="D107" s="37">
        <v>20517</v>
      </c>
    </row>
    <row r="108" spans="1:7" s="36" customFormat="1" ht="17.100000000000001" customHeight="1">
      <c r="A108" s="36" t="s">
        <v>103</v>
      </c>
      <c r="B108" s="36" t="s">
        <v>121</v>
      </c>
      <c r="D108" s="37">
        <v>20535</v>
      </c>
    </row>
    <row r="109" spans="1:7" s="36" customFormat="1" ht="17.100000000000001" customHeight="1">
      <c r="A109" s="36" t="s">
        <v>123</v>
      </c>
      <c r="B109" s="36" t="s">
        <v>124</v>
      </c>
      <c r="D109" s="37">
        <v>20429</v>
      </c>
      <c r="G109" s="36" t="s">
        <v>95</v>
      </c>
    </row>
    <row r="110" spans="1:7" s="36" customFormat="1" ht="17.100000000000001" customHeight="1">
      <c r="A110" s="36" t="s">
        <v>125</v>
      </c>
      <c r="B110" s="36" t="s">
        <v>124</v>
      </c>
      <c r="D110" s="37">
        <v>20427</v>
      </c>
      <c r="G110" s="36" t="s">
        <v>95</v>
      </c>
    </row>
    <row r="111" spans="1:7" s="36" customFormat="1" ht="17.100000000000001" customHeight="1">
      <c r="D111" s="37"/>
    </row>
    <row r="112" spans="1:7" s="36" customFormat="1" ht="17.100000000000001" customHeight="1">
      <c r="A112" s="38" t="s">
        <v>126</v>
      </c>
      <c r="D112" s="47"/>
    </row>
    <row r="113" spans="1:4" s="36" customFormat="1">
      <c r="A113" s="36" t="s">
        <v>127</v>
      </c>
      <c r="B113" s="36" t="s">
        <v>128</v>
      </c>
      <c r="D113" s="48">
        <v>40042</v>
      </c>
    </row>
    <row r="114" spans="1:4" s="36" customFormat="1">
      <c r="A114" s="36" t="s">
        <v>129</v>
      </c>
      <c r="B114" s="36" t="s">
        <v>128</v>
      </c>
      <c r="D114" s="47">
        <v>40030</v>
      </c>
    </row>
    <row r="115" spans="1:4" s="36" customFormat="1">
      <c r="A115" s="36" t="s">
        <v>130</v>
      </c>
      <c r="B115" s="36" t="s">
        <v>128</v>
      </c>
      <c r="D115" s="47">
        <v>40046</v>
      </c>
    </row>
    <row r="116" spans="1:4" s="36" customFormat="1" ht="17.100000000000001" customHeight="1">
      <c r="A116" s="36" t="s">
        <v>131</v>
      </c>
      <c r="B116" s="36" t="s">
        <v>128</v>
      </c>
      <c r="D116" s="47">
        <v>40034</v>
      </c>
    </row>
    <row r="117" spans="1:4" s="36" customFormat="1">
      <c r="A117" s="36" t="s">
        <v>132</v>
      </c>
      <c r="B117" s="36" t="s">
        <v>128</v>
      </c>
      <c r="D117" s="47">
        <v>40038</v>
      </c>
    </row>
    <row r="118" spans="1:4" s="36" customFormat="1" ht="17.100000000000001" customHeight="1">
      <c r="D118" s="37"/>
    </row>
    <row r="119" spans="1:4" s="36" customFormat="1">
      <c r="A119" s="38" t="s">
        <v>133</v>
      </c>
      <c r="B119" s="38"/>
      <c r="C119" s="38"/>
      <c r="D119" s="39"/>
    </row>
    <row r="120" spans="1:4" s="36" customFormat="1" ht="17.100000000000001" customHeight="1">
      <c r="A120" s="36" t="s">
        <v>134</v>
      </c>
      <c r="B120" s="36" t="s">
        <v>90</v>
      </c>
      <c r="D120" s="37">
        <v>1180</v>
      </c>
    </row>
    <row r="121" spans="1:4" s="36" customFormat="1">
      <c r="A121" s="36" t="s">
        <v>135</v>
      </c>
      <c r="B121" s="36" t="s">
        <v>136</v>
      </c>
      <c r="D121" s="37">
        <v>1050</v>
      </c>
    </row>
    <row r="122" spans="1:4" s="36" customFormat="1">
      <c r="A122" s="36" t="s">
        <v>137</v>
      </c>
      <c r="B122" s="36" t="s">
        <v>136</v>
      </c>
      <c r="D122" s="37">
        <v>1060</v>
      </c>
    </row>
    <row r="123" spans="1:4" s="36" customFormat="1">
      <c r="A123" s="36" t="s">
        <v>138</v>
      </c>
      <c r="B123" s="36" t="s">
        <v>136</v>
      </c>
      <c r="D123" s="37">
        <v>2277</v>
      </c>
    </row>
    <row r="124" spans="1:4" s="36" customFormat="1">
      <c r="D124" s="37"/>
    </row>
    <row r="125" spans="1:4" s="36" customFormat="1">
      <c r="A125" s="38" t="s">
        <v>139</v>
      </c>
      <c r="B125" s="38"/>
      <c r="C125" s="38"/>
      <c r="D125" s="39"/>
    </row>
    <row r="126" spans="1:4" s="41" customFormat="1">
      <c r="A126" s="41" t="s">
        <v>140</v>
      </c>
      <c r="B126" s="41" t="s">
        <v>141</v>
      </c>
      <c r="D126" s="45">
        <v>30123</v>
      </c>
    </row>
    <row r="127" spans="1:4" s="41" customFormat="1" ht="17.100000000000001" customHeight="1">
      <c r="A127" s="41" t="s">
        <v>142</v>
      </c>
      <c r="B127" s="41" t="s">
        <v>141</v>
      </c>
      <c r="D127" s="45">
        <v>30143</v>
      </c>
    </row>
    <row r="128" spans="1:4" s="36" customFormat="1">
      <c r="A128" s="36" t="s">
        <v>143</v>
      </c>
      <c r="B128" s="36" t="s">
        <v>144</v>
      </c>
      <c r="D128" s="37">
        <v>31042</v>
      </c>
    </row>
    <row r="129" spans="1:8" s="41" customFormat="1">
      <c r="A129" s="41" t="s">
        <v>145</v>
      </c>
      <c r="B129" s="41" t="s">
        <v>146</v>
      </c>
      <c r="D129" s="45">
        <v>30710</v>
      </c>
      <c r="H129" s="41" t="s">
        <v>147</v>
      </c>
    </row>
    <row r="130" spans="1:8" s="36" customFormat="1">
      <c r="A130" s="36" t="s">
        <v>148</v>
      </c>
      <c r="B130" s="36" t="s">
        <v>105</v>
      </c>
      <c r="D130" s="37">
        <v>28714</v>
      </c>
      <c r="G130" s="36" t="s">
        <v>149</v>
      </c>
    </row>
    <row r="131" spans="1:8" s="36" customFormat="1">
      <c r="A131" s="36" t="s">
        <v>150</v>
      </c>
      <c r="B131" s="36" t="s">
        <v>105</v>
      </c>
      <c r="D131" s="37">
        <v>28705</v>
      </c>
      <c r="G131" s="36" t="s">
        <v>149</v>
      </c>
    </row>
    <row r="132" spans="1:8" s="36" customFormat="1">
      <c r="D132" s="37"/>
    </row>
    <row r="133" spans="1:8" s="36" customFormat="1">
      <c r="A133" s="36" t="s">
        <v>151</v>
      </c>
      <c r="B133" s="49" t="s">
        <v>152</v>
      </c>
      <c r="C133" s="49"/>
      <c r="D133" s="37" t="s">
        <v>153</v>
      </c>
    </row>
    <row r="134" spans="1:8" s="36" customFormat="1">
      <c r="A134" s="36" t="s">
        <v>154</v>
      </c>
      <c r="B134" s="49" t="s">
        <v>155</v>
      </c>
      <c r="C134" s="49"/>
      <c r="D134" s="37" t="s">
        <v>156</v>
      </c>
    </row>
    <row r="135" spans="1:8" s="36" customFormat="1">
      <c r="A135" s="36" t="s">
        <v>157</v>
      </c>
      <c r="B135" s="49" t="s">
        <v>158</v>
      </c>
      <c r="C135" s="49"/>
      <c r="D135" s="37" t="s">
        <v>159</v>
      </c>
    </row>
    <row r="136" spans="1:8" s="36" customFormat="1">
      <c r="A136" s="36" t="s">
        <v>160</v>
      </c>
      <c r="B136" s="49" t="s">
        <v>161</v>
      </c>
      <c r="C136" s="49"/>
      <c r="D136" s="37" t="s">
        <v>162</v>
      </c>
    </row>
    <row r="137" spans="1:8" s="36" customFormat="1">
      <c r="A137" s="36" t="s">
        <v>160</v>
      </c>
      <c r="B137" s="49" t="s">
        <v>163</v>
      </c>
      <c r="C137" s="49"/>
      <c r="D137" s="37" t="s">
        <v>164</v>
      </c>
    </row>
    <row r="138" spans="1:8" s="36" customFormat="1">
      <c r="A138" s="36" t="s">
        <v>165</v>
      </c>
      <c r="B138" s="49" t="s">
        <v>166</v>
      </c>
      <c r="C138" s="49"/>
      <c r="D138" s="37" t="s">
        <v>167</v>
      </c>
    </row>
    <row r="139" spans="1:8" s="36" customFormat="1">
      <c r="A139" s="36" t="s">
        <v>168</v>
      </c>
      <c r="B139" s="49" t="s">
        <v>169</v>
      </c>
      <c r="C139" s="49"/>
      <c r="D139" s="37" t="s">
        <v>170</v>
      </c>
    </row>
    <row r="140" spans="1:8" s="36" customFormat="1">
      <c r="A140" s="36" t="s">
        <v>171</v>
      </c>
      <c r="B140" s="49" t="s">
        <v>172</v>
      </c>
      <c r="C140" s="49"/>
      <c r="D140" s="37" t="s">
        <v>173</v>
      </c>
    </row>
    <row r="141" spans="1:8" s="36" customFormat="1">
      <c r="A141" s="36" t="s">
        <v>174</v>
      </c>
      <c r="B141" s="49" t="s">
        <v>175</v>
      </c>
      <c r="C141" s="49"/>
      <c r="D141" s="37" t="s">
        <v>176</v>
      </c>
    </row>
    <row r="142" spans="1:8" s="36" customFormat="1">
      <c r="A142" s="36" t="s">
        <v>177</v>
      </c>
      <c r="B142" s="49" t="s">
        <v>178</v>
      </c>
      <c r="C142" s="49"/>
      <c r="D142" s="37"/>
    </row>
    <row r="143" spans="1:8" s="36" customFormat="1">
      <c r="A143" s="36" t="s">
        <v>17</v>
      </c>
      <c r="B143" s="49" t="s">
        <v>179</v>
      </c>
      <c r="C143" s="49"/>
      <c r="D143" s="37"/>
    </row>
    <row r="144" spans="1:8" s="36" customFormat="1">
      <c r="A144" s="36" t="s">
        <v>19</v>
      </c>
      <c r="B144" s="49" t="s">
        <v>180</v>
      </c>
      <c r="C144" s="49"/>
      <c r="D144" s="37" t="s">
        <v>181</v>
      </c>
    </row>
    <row r="145" spans="1:4" s="36" customFormat="1">
      <c r="A145" s="36" t="s">
        <v>9</v>
      </c>
      <c r="B145" s="49" t="s">
        <v>182</v>
      </c>
      <c r="C145" s="49"/>
      <c r="D145" s="37" t="s">
        <v>183</v>
      </c>
    </row>
    <row r="146" spans="1:4" s="36" customFormat="1">
      <c r="A146" s="36" t="s">
        <v>89</v>
      </c>
      <c r="B146" s="49" t="s">
        <v>184</v>
      </c>
      <c r="C146" s="49"/>
      <c r="D146" s="37" t="s">
        <v>185</v>
      </c>
    </row>
    <row r="147" spans="1:4" s="36" customFormat="1">
      <c r="A147" s="36" t="s">
        <v>91</v>
      </c>
      <c r="B147" s="49" t="s">
        <v>186</v>
      </c>
      <c r="C147" s="49"/>
      <c r="D147" s="37" t="s">
        <v>187</v>
      </c>
    </row>
    <row r="148" spans="1:4" s="36" customFormat="1" ht="17.100000000000001" customHeight="1">
      <c r="A148" s="36" t="s">
        <v>134</v>
      </c>
      <c r="B148" s="49" t="s">
        <v>188</v>
      </c>
      <c r="C148" s="49"/>
      <c r="D148" s="37" t="s">
        <v>189</v>
      </c>
    </row>
    <row r="149" spans="1:4" s="36" customFormat="1" ht="17.100000000000001" customHeight="1">
      <c r="A149" s="36" t="s">
        <v>92</v>
      </c>
      <c r="B149" s="49" t="s">
        <v>190</v>
      </c>
      <c r="C149" s="49"/>
      <c r="D149" s="37" t="s">
        <v>191</v>
      </c>
    </row>
    <row r="150" spans="1:4" s="36" customFormat="1" ht="17.100000000000001" customHeight="1">
      <c r="A150" s="36" t="s">
        <v>93</v>
      </c>
      <c r="B150" s="49" t="s">
        <v>192</v>
      </c>
      <c r="C150" s="49"/>
      <c r="D150" s="37" t="s">
        <v>193</v>
      </c>
    </row>
    <row r="151" spans="1:4" s="36" customFormat="1" ht="17.100000000000001" customHeight="1">
      <c r="A151" s="36" t="s">
        <v>194</v>
      </c>
      <c r="B151" s="49" t="s">
        <v>195</v>
      </c>
      <c r="C151" s="49"/>
      <c r="D151" s="37" t="s">
        <v>196</v>
      </c>
    </row>
    <row r="152" spans="1:4" s="36" customFormat="1" ht="17.100000000000001" customHeight="1">
      <c r="A152" s="36" t="s">
        <v>197</v>
      </c>
      <c r="B152" s="49" t="s">
        <v>198</v>
      </c>
      <c r="C152" s="49"/>
      <c r="D152" s="37" t="s">
        <v>199</v>
      </c>
    </row>
    <row r="153" spans="1:4" s="36" customFormat="1" ht="17.100000000000001" customHeight="1">
      <c r="A153" s="36" t="s">
        <v>200</v>
      </c>
      <c r="B153" s="49" t="s">
        <v>201</v>
      </c>
      <c r="C153" s="49"/>
      <c r="D153" s="37" t="s">
        <v>202</v>
      </c>
    </row>
    <row r="154" spans="1:4" s="36" customFormat="1" ht="17.100000000000001" customHeight="1">
      <c r="A154" s="36" t="s">
        <v>203</v>
      </c>
      <c r="B154" s="49" t="s">
        <v>204</v>
      </c>
      <c r="C154" s="49"/>
      <c r="D154" s="37" t="s">
        <v>205</v>
      </c>
    </row>
    <row r="155" spans="1:4" s="36" customFormat="1" ht="17.100000000000001" customHeight="1">
      <c r="A155" s="36" t="s">
        <v>49</v>
      </c>
      <c r="B155" s="49" t="s">
        <v>206</v>
      </c>
      <c r="C155" s="49"/>
      <c r="D155" s="37" t="s">
        <v>207</v>
      </c>
    </row>
    <row r="156" spans="1:4" s="36" customFormat="1" ht="17.100000000000001" customHeight="1">
      <c r="A156" s="36" t="s">
        <v>140</v>
      </c>
      <c r="B156" s="49" t="s">
        <v>208</v>
      </c>
      <c r="C156" s="49"/>
      <c r="D156" s="37" t="s">
        <v>209</v>
      </c>
    </row>
    <row r="157" spans="1:4" s="36" customFormat="1" ht="17.100000000000001" customHeight="1">
      <c r="A157" s="36" t="s">
        <v>142</v>
      </c>
      <c r="B157" s="49" t="s">
        <v>210</v>
      </c>
      <c r="C157" s="49"/>
      <c r="D157" s="37" t="s">
        <v>211</v>
      </c>
    </row>
    <row r="158" spans="1:4" s="36" customFormat="1" ht="17.100000000000001" customHeight="1">
      <c r="A158" s="36" t="s">
        <v>145</v>
      </c>
      <c r="B158" s="49" t="s">
        <v>212</v>
      </c>
      <c r="C158" s="49"/>
      <c r="D158" s="37" t="s">
        <v>213</v>
      </c>
    </row>
    <row r="159" spans="1:4" s="36" customFormat="1" ht="17.100000000000001" customHeight="1">
      <c r="A159" s="36" t="s">
        <v>61</v>
      </c>
      <c r="B159" s="49" t="s">
        <v>214</v>
      </c>
      <c r="C159" s="49"/>
      <c r="D159" s="37" t="s">
        <v>215</v>
      </c>
    </row>
    <row r="160" spans="1:4" s="36" customFormat="1">
      <c r="A160" s="36" t="s">
        <v>64</v>
      </c>
      <c r="B160" s="49" t="s">
        <v>216</v>
      </c>
      <c r="C160" s="49"/>
      <c r="D160" s="37" t="s">
        <v>217</v>
      </c>
    </row>
    <row r="161" spans="1:4" s="36" customFormat="1">
      <c r="A161" s="36" t="s">
        <v>60</v>
      </c>
      <c r="B161" s="49" t="s">
        <v>218</v>
      </c>
      <c r="C161" s="49"/>
      <c r="D161" s="37" t="s">
        <v>219</v>
      </c>
    </row>
    <row r="162" spans="1:4" s="36" customFormat="1">
      <c r="A162" s="36" t="s">
        <v>50</v>
      </c>
      <c r="B162" s="49" t="s">
        <v>220</v>
      </c>
      <c r="C162" s="49"/>
      <c r="D162" s="37" t="s">
        <v>221</v>
      </c>
    </row>
    <row r="163" spans="1:4" s="36" customFormat="1">
      <c r="A163" s="36" t="s">
        <v>63</v>
      </c>
      <c r="B163" s="49" t="s">
        <v>222</v>
      </c>
      <c r="C163" s="49"/>
      <c r="D163" s="37" t="s">
        <v>223</v>
      </c>
    </row>
    <row r="164" spans="1:4" s="36" customFormat="1">
      <c r="A164" s="36" t="s">
        <v>77</v>
      </c>
      <c r="B164" s="49" t="s">
        <v>224</v>
      </c>
      <c r="C164" s="49"/>
      <c r="D164" s="37" t="s">
        <v>225</v>
      </c>
    </row>
    <row r="165" spans="1:4" s="36" customFormat="1">
      <c r="A165" s="36" t="s">
        <v>78</v>
      </c>
      <c r="B165" s="49" t="s">
        <v>226</v>
      </c>
      <c r="C165" s="49"/>
      <c r="D165" s="37" t="s">
        <v>227</v>
      </c>
    </row>
    <row r="166" spans="1:4" s="36" customFormat="1">
      <c r="A166" s="36" t="s">
        <v>79</v>
      </c>
      <c r="B166" s="49" t="s">
        <v>228</v>
      </c>
      <c r="C166" s="49"/>
      <c r="D166" s="37" t="s">
        <v>229</v>
      </c>
    </row>
    <row r="167" spans="1:4" s="36" customFormat="1">
      <c r="A167" s="36" t="s">
        <v>80</v>
      </c>
      <c r="B167" s="49" t="s">
        <v>230</v>
      </c>
      <c r="C167" s="49"/>
      <c r="D167" s="37" t="s">
        <v>231</v>
      </c>
    </row>
    <row r="168" spans="1:4" s="36" customFormat="1">
      <c r="A168" s="36" t="s">
        <v>81</v>
      </c>
      <c r="B168" s="49" t="s">
        <v>232</v>
      </c>
      <c r="C168" s="49"/>
      <c r="D168" s="37" t="s">
        <v>233</v>
      </c>
    </row>
    <row r="169" spans="1:4" s="36" customFormat="1">
      <c r="A169" s="36" t="s">
        <v>82</v>
      </c>
      <c r="B169" s="49" t="s">
        <v>234</v>
      </c>
      <c r="C169" s="49"/>
      <c r="D169" s="37" t="s">
        <v>235</v>
      </c>
    </row>
    <row r="170" spans="1:4" s="36" customFormat="1">
      <c r="A170" s="36" t="s">
        <v>127</v>
      </c>
      <c r="B170" s="49" t="s">
        <v>236</v>
      </c>
      <c r="C170" s="49"/>
      <c r="D170" s="37" t="s">
        <v>237</v>
      </c>
    </row>
    <row r="171" spans="1:4" s="36" customFormat="1">
      <c r="A171" s="36" t="s">
        <v>129</v>
      </c>
      <c r="B171" s="49" t="s">
        <v>238</v>
      </c>
      <c r="C171" s="49"/>
      <c r="D171" s="37" t="s">
        <v>239</v>
      </c>
    </row>
    <row r="172" spans="1:4" s="36" customFormat="1">
      <c r="A172" s="36" t="s">
        <v>130</v>
      </c>
      <c r="B172" s="49" t="s">
        <v>240</v>
      </c>
      <c r="C172" s="49"/>
      <c r="D172" s="37" t="s">
        <v>241</v>
      </c>
    </row>
    <row r="173" spans="1:4" s="36" customFormat="1">
      <c r="A173" s="36" t="s">
        <v>131</v>
      </c>
      <c r="B173" s="49" t="s">
        <v>242</v>
      </c>
      <c r="C173" s="49"/>
      <c r="D173" s="37" t="s">
        <v>243</v>
      </c>
    </row>
    <row r="174" spans="1:4" s="36" customFormat="1">
      <c r="A174" s="36" t="s">
        <v>132</v>
      </c>
      <c r="B174" s="49" t="s">
        <v>244</v>
      </c>
      <c r="C174" s="49"/>
      <c r="D174" s="37" t="s">
        <v>245</v>
      </c>
    </row>
    <row r="175" spans="1:4" s="36" customFormat="1">
      <c r="D175" s="37"/>
    </row>
    <row r="176" spans="1:4" s="36" customFormat="1">
      <c r="D176" s="37"/>
    </row>
    <row r="177" spans="1:5" s="36" customFormat="1" ht="17.100000000000001" customHeight="1">
      <c r="A177" s="36" t="s">
        <v>59</v>
      </c>
      <c r="B177" s="36" t="s">
        <v>74</v>
      </c>
      <c r="D177" s="47">
        <v>20489</v>
      </c>
    </row>
    <row r="178" spans="1:5" s="36" customFormat="1">
      <c r="A178" s="36" t="s">
        <v>61</v>
      </c>
      <c r="B178" s="36" t="s">
        <v>74</v>
      </c>
      <c r="D178" s="47">
        <v>20488</v>
      </c>
    </row>
    <row r="179" spans="1:5" s="36" customFormat="1" ht="17.100000000000001" customHeight="1">
      <c r="A179" s="36" t="s">
        <v>58</v>
      </c>
      <c r="B179" s="36" t="s">
        <v>74</v>
      </c>
      <c r="D179" s="47">
        <v>20487</v>
      </c>
    </row>
    <row r="180" spans="1:5" s="36" customFormat="1" ht="17.100000000000001" customHeight="1">
      <c r="A180" s="36" t="s">
        <v>64</v>
      </c>
      <c r="B180" s="36" t="s">
        <v>74</v>
      </c>
      <c r="D180" s="47">
        <v>20490</v>
      </c>
    </row>
    <row r="181" spans="1:5" s="36" customFormat="1">
      <c r="A181" s="36" t="s">
        <v>65</v>
      </c>
      <c r="B181" s="36" t="s">
        <v>74</v>
      </c>
      <c r="D181" s="47">
        <v>20491</v>
      </c>
    </row>
    <row r="182" spans="1:5" s="36" customFormat="1" ht="17.100000000000001" customHeight="1">
      <c r="A182" s="36" t="s">
        <v>75</v>
      </c>
      <c r="B182" s="36" t="s">
        <v>74</v>
      </c>
      <c r="D182" s="47">
        <v>20522</v>
      </c>
    </row>
    <row r="183" spans="1:5" s="36" customFormat="1">
      <c r="A183" s="36" t="s">
        <v>60</v>
      </c>
      <c r="B183" s="36" t="s">
        <v>74</v>
      </c>
      <c r="D183" s="47">
        <v>20523</v>
      </c>
    </row>
    <row r="184" spans="1:5" s="36" customFormat="1">
      <c r="A184" s="36" t="s">
        <v>50</v>
      </c>
      <c r="B184" s="36" t="s">
        <v>74</v>
      </c>
      <c r="D184" s="47">
        <v>20521</v>
      </c>
    </row>
    <row r="185" spans="1:5" s="36" customFormat="1">
      <c r="A185" s="36" t="s">
        <v>63</v>
      </c>
      <c r="B185" s="36" t="s">
        <v>74</v>
      </c>
      <c r="D185" s="47">
        <v>20524</v>
      </c>
    </row>
    <row r="186" spans="1:5" s="36" customFormat="1" ht="17.100000000000001" customHeight="1">
      <c r="A186" s="36" t="s">
        <v>76</v>
      </c>
      <c r="B186" s="36" t="s">
        <v>74</v>
      </c>
      <c r="D186" s="47">
        <v>20525</v>
      </c>
    </row>
    <row r="187" spans="1:5" ht="17.100000000000001" customHeight="1">
      <c r="D187" s="3"/>
    </row>
    <row r="188" spans="1:5" ht="17.100000000000001" customHeight="1">
      <c r="A188" s="8" t="s">
        <v>246</v>
      </c>
      <c r="B188" s="51" t="s">
        <v>247</v>
      </c>
      <c r="C188" s="51"/>
      <c r="D188" s="52" t="s">
        <v>248</v>
      </c>
      <c r="E188" s="8" t="s">
        <v>249</v>
      </c>
    </row>
    <row r="189" spans="1:5" s="16" customFormat="1" ht="15.75">
      <c r="A189" s="15" t="s">
        <v>8</v>
      </c>
      <c r="D189" s="17"/>
    </row>
    <row r="190" spans="1:5">
      <c r="A190" t="s">
        <v>151</v>
      </c>
      <c r="B190" s="7" t="s">
        <v>152</v>
      </c>
      <c r="C190" s="7"/>
      <c r="D190" s="2" t="s">
        <v>153</v>
      </c>
    </row>
    <row r="191" spans="1:5">
      <c r="A191" t="s">
        <v>154</v>
      </c>
      <c r="B191" s="7" t="s">
        <v>155</v>
      </c>
      <c r="C191" s="7"/>
      <c r="D191" s="2" t="s">
        <v>156</v>
      </c>
    </row>
    <row r="192" spans="1:5">
      <c r="A192" s="21" t="s">
        <v>157</v>
      </c>
      <c r="B192" s="7" t="s">
        <v>158</v>
      </c>
      <c r="C192" s="7"/>
      <c r="D192" s="2" t="s">
        <v>159</v>
      </c>
    </row>
    <row r="193" spans="1:5">
      <c r="A193" s="21" t="s">
        <v>160</v>
      </c>
      <c r="B193" s="7" t="s">
        <v>161</v>
      </c>
      <c r="C193" s="7"/>
      <c r="D193" s="2" t="s">
        <v>162</v>
      </c>
    </row>
    <row r="194" spans="1:5">
      <c r="A194" s="21" t="s">
        <v>160</v>
      </c>
      <c r="B194" s="7" t="s">
        <v>163</v>
      </c>
      <c r="C194" s="7"/>
      <c r="D194" s="2" t="s">
        <v>164</v>
      </c>
    </row>
    <row r="195" spans="1:5">
      <c r="A195" t="s">
        <v>165</v>
      </c>
      <c r="B195" s="7" t="s">
        <v>166</v>
      </c>
      <c r="C195" s="7"/>
      <c r="D195" s="2" t="s">
        <v>167</v>
      </c>
    </row>
    <row r="196" spans="1:5">
      <c r="A196" t="s">
        <v>168</v>
      </c>
      <c r="B196" s="7" t="s">
        <v>169</v>
      </c>
      <c r="C196" s="7"/>
      <c r="D196" s="2" t="s">
        <v>170</v>
      </c>
    </row>
    <row r="197" spans="1:5">
      <c r="A197" s="22" t="s">
        <v>171</v>
      </c>
      <c r="B197" s="7" t="s">
        <v>172</v>
      </c>
      <c r="C197" s="7"/>
      <c r="D197" s="2" t="s">
        <v>173</v>
      </c>
      <c r="E197" t="s">
        <v>250</v>
      </c>
    </row>
    <row r="198" spans="1:5">
      <c r="A198" t="s">
        <v>9</v>
      </c>
      <c r="B198" s="7" t="s">
        <v>251</v>
      </c>
      <c r="C198" s="7" t="s">
        <v>182</v>
      </c>
      <c r="D198" s="2" t="s">
        <v>183</v>
      </c>
    </row>
    <row r="199" spans="1:5">
      <c r="B199" s="7"/>
      <c r="C199" s="7"/>
    </row>
    <row r="200" spans="1:5">
      <c r="A200" s="1" t="s">
        <v>252</v>
      </c>
      <c r="B200" s="7"/>
      <c r="C200" s="7"/>
    </row>
    <row r="201" spans="1:5" ht="17.100000000000001" customHeight="1">
      <c r="A201" t="s">
        <v>253</v>
      </c>
      <c r="B201" s="7" t="s">
        <v>254</v>
      </c>
      <c r="C201" s="7" t="s">
        <v>192</v>
      </c>
      <c r="D201" s="2" t="s">
        <v>193</v>
      </c>
    </row>
    <row r="202" spans="1:5" ht="17.100000000000001" customHeight="1">
      <c r="B202" s="7"/>
      <c r="C202" s="7"/>
    </row>
    <row r="203" spans="1:5" ht="17.100000000000001" customHeight="1">
      <c r="B203" s="7"/>
      <c r="C203" s="7"/>
    </row>
    <row r="204" spans="1:5" s="8" customFormat="1" ht="17.100000000000001" customHeight="1">
      <c r="A204" s="8" t="s">
        <v>38</v>
      </c>
      <c r="B204" s="9"/>
      <c r="C204" s="9"/>
      <c r="D204" s="10"/>
    </row>
    <row r="205" spans="1:5" s="18" customFormat="1" ht="17.100000000000001" customHeight="1">
      <c r="A205" s="18" t="s">
        <v>59</v>
      </c>
      <c r="B205" s="18" t="s">
        <v>255</v>
      </c>
      <c r="D205" s="19" t="s">
        <v>256</v>
      </c>
      <c r="E205" s="18" t="s">
        <v>257</v>
      </c>
    </row>
    <row r="206" spans="1:5" ht="17.100000000000001" customHeight="1">
      <c r="A206" t="s">
        <v>61</v>
      </c>
      <c r="B206" s="7" t="s">
        <v>214</v>
      </c>
      <c r="C206" s="7"/>
      <c r="D206" s="11" t="s">
        <v>215</v>
      </c>
    </row>
    <row r="207" spans="1:5" ht="17.100000000000001" customHeight="1">
      <c r="A207" t="s">
        <v>58</v>
      </c>
      <c r="B207" s="7" t="s">
        <v>258</v>
      </c>
      <c r="C207" s="7"/>
      <c r="D207" s="11" t="s">
        <v>259</v>
      </c>
    </row>
    <row r="208" spans="1:5">
      <c r="A208" t="s">
        <v>64</v>
      </c>
      <c r="B208" s="7" t="s">
        <v>216</v>
      </c>
      <c r="C208" s="7"/>
      <c r="D208" s="11" t="s">
        <v>217</v>
      </c>
    </row>
    <row r="209" spans="1:5" s="18" customFormat="1">
      <c r="A209" s="18" t="s">
        <v>65</v>
      </c>
      <c r="B209" s="20" t="s">
        <v>260</v>
      </c>
      <c r="C209" s="20"/>
      <c r="D209" s="19" t="s">
        <v>261</v>
      </c>
      <c r="E209" s="18" t="s">
        <v>257</v>
      </c>
    </row>
    <row r="210" spans="1:5" s="18" customFormat="1" ht="17.100000000000001" customHeight="1">
      <c r="A210" s="18" t="s">
        <v>75</v>
      </c>
      <c r="B210" s="20" t="s">
        <v>262</v>
      </c>
      <c r="C210" s="20"/>
      <c r="D210" s="19" t="s">
        <v>263</v>
      </c>
      <c r="E210" s="18" t="s">
        <v>257</v>
      </c>
    </row>
    <row r="211" spans="1:5">
      <c r="A211" t="s">
        <v>60</v>
      </c>
      <c r="B211" s="7" t="s">
        <v>218</v>
      </c>
      <c r="C211" s="7"/>
      <c r="D211" s="11" t="s">
        <v>219</v>
      </c>
    </row>
    <row r="212" spans="1:5">
      <c r="A212" t="s">
        <v>50</v>
      </c>
      <c r="B212" s="7" t="s">
        <v>220</v>
      </c>
      <c r="C212" s="7"/>
      <c r="D212" s="11" t="s">
        <v>221</v>
      </c>
    </row>
    <row r="213" spans="1:5">
      <c r="A213" t="s">
        <v>63</v>
      </c>
      <c r="B213" s="7" t="s">
        <v>222</v>
      </c>
      <c r="C213" s="7"/>
      <c r="D213" s="11" t="s">
        <v>223</v>
      </c>
    </row>
    <row r="214" spans="1:5" s="18" customFormat="1" ht="17.100000000000001" customHeight="1">
      <c r="A214" s="18" t="s">
        <v>76</v>
      </c>
      <c r="B214" s="18" t="s">
        <v>264</v>
      </c>
      <c r="D214" s="19" t="s">
        <v>265</v>
      </c>
      <c r="E214" s="18" t="s">
        <v>257</v>
      </c>
    </row>
    <row r="216" spans="1:5">
      <c r="A216" s="1" t="s">
        <v>266</v>
      </c>
    </row>
    <row r="217" spans="1:5">
      <c r="A217" t="s">
        <v>11</v>
      </c>
      <c r="B217" t="s">
        <v>267</v>
      </c>
      <c r="C217" t="s">
        <v>268</v>
      </c>
      <c r="D217" s="2" t="s">
        <v>269</v>
      </c>
    </row>
    <row r="218" spans="1:5">
      <c r="A218" t="s">
        <v>270</v>
      </c>
      <c r="B218" t="s">
        <v>271</v>
      </c>
      <c r="D218" s="2" t="s">
        <v>272</v>
      </c>
    </row>
    <row r="219" spans="1:5">
      <c r="A219" t="s">
        <v>273</v>
      </c>
      <c r="B219" t="s">
        <v>274</v>
      </c>
      <c r="C219" t="s">
        <v>275</v>
      </c>
      <c r="D219" s="2" t="s">
        <v>276</v>
      </c>
    </row>
    <row r="220" spans="1:5" s="12" customFormat="1">
      <c r="A220" s="12" t="s">
        <v>277</v>
      </c>
      <c r="D220" s="13" t="s">
        <v>278</v>
      </c>
      <c r="E220" s="12" t="s">
        <v>279</v>
      </c>
    </row>
    <row r="221" spans="1:5">
      <c r="A221" t="s">
        <v>280</v>
      </c>
      <c r="B221" s="14" t="s">
        <v>281</v>
      </c>
      <c r="C221" s="14"/>
      <c r="D221" s="2" t="s">
        <v>282</v>
      </c>
    </row>
    <row r="222" spans="1:5">
      <c r="A222" t="s">
        <v>283</v>
      </c>
      <c r="B222" t="s">
        <v>284</v>
      </c>
      <c r="D222" s="2" t="s">
        <v>285</v>
      </c>
    </row>
    <row r="223" spans="1:5">
      <c r="A223" t="s">
        <v>286</v>
      </c>
      <c r="B223" t="s">
        <v>287</v>
      </c>
      <c r="D223" s="2" t="s">
        <v>288</v>
      </c>
    </row>
    <row r="224" spans="1:5" s="5" customFormat="1">
      <c r="A224" s="5" t="s">
        <v>289</v>
      </c>
      <c r="B224" s="5" t="s">
        <v>290</v>
      </c>
      <c r="D224" s="6" t="s">
        <v>291</v>
      </c>
    </row>
    <row r="225" spans="1:5">
      <c r="A225" t="s">
        <v>292</v>
      </c>
      <c r="B225" t="s">
        <v>293</v>
      </c>
      <c r="D225" s="2" t="s">
        <v>294</v>
      </c>
    </row>
    <row r="226" spans="1:5" s="12" customFormat="1">
      <c r="A226" s="12" t="s">
        <v>295</v>
      </c>
      <c r="D226" s="13"/>
      <c r="E226" s="12" t="s">
        <v>296</v>
      </c>
    </row>
  </sheetData>
  <mergeCells count="1">
    <mergeCell ref="B188:C188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FA34-FBBE-0042-8BD0-6ADD08FAED20}">
  <dimension ref="A1:G64"/>
  <sheetViews>
    <sheetView workbookViewId="0">
      <selection activeCell="F67" sqref="F67"/>
    </sheetView>
  </sheetViews>
  <sheetFormatPr defaultColWidth="11" defaultRowHeight="15.95"/>
  <cols>
    <col min="1" max="1" width="30.625" customWidth="1"/>
    <col min="2" max="2" width="29.625" customWidth="1"/>
  </cols>
  <sheetData>
    <row r="1" spans="1:6">
      <c r="A1" s="2" t="s">
        <v>297</v>
      </c>
      <c r="B1" s="2"/>
      <c r="C1" s="2" t="s">
        <v>298</v>
      </c>
      <c r="D1" s="2" t="s">
        <v>299</v>
      </c>
      <c r="E1" s="2" t="s">
        <v>300</v>
      </c>
      <c r="F1" s="2" t="s">
        <v>301</v>
      </c>
    </row>
    <row r="2" spans="1:6">
      <c r="A2" s="6">
        <v>-3</v>
      </c>
      <c r="B2" s="6" t="s">
        <v>302</v>
      </c>
      <c r="C2" s="6">
        <v>61</v>
      </c>
      <c r="D2" s="6">
        <v>51</v>
      </c>
      <c r="E2" s="6">
        <v>83</v>
      </c>
      <c r="F2" s="6">
        <v>222</v>
      </c>
    </row>
    <row r="3" spans="1:6">
      <c r="A3" s="6">
        <v>-1</v>
      </c>
      <c r="B3" s="6" t="s">
        <v>303</v>
      </c>
      <c r="C3" s="6">
        <v>4</v>
      </c>
      <c r="D3" s="6">
        <v>5</v>
      </c>
      <c r="E3" s="6">
        <v>8</v>
      </c>
      <c r="F3" s="6">
        <v>27</v>
      </c>
    </row>
    <row r="4" spans="1:6">
      <c r="A4" s="26">
        <v>1</v>
      </c>
      <c r="B4" s="26" t="s">
        <v>304</v>
      </c>
      <c r="C4" s="26">
        <v>19</v>
      </c>
      <c r="D4" s="26">
        <v>9</v>
      </c>
      <c r="E4" s="26">
        <v>20</v>
      </c>
      <c r="F4" s="26">
        <v>77</v>
      </c>
    </row>
    <row r="5" spans="1:6">
      <c r="A5" s="26">
        <v>2</v>
      </c>
      <c r="B5" s="26" t="s">
        <v>305</v>
      </c>
      <c r="C5" s="26"/>
      <c r="D5" s="26"/>
      <c r="E5" s="26">
        <v>2</v>
      </c>
      <c r="F5" s="26">
        <v>6</v>
      </c>
    </row>
    <row r="6" spans="1:6">
      <c r="A6" s="26">
        <v>3</v>
      </c>
      <c r="B6" s="26" t="s">
        <v>306</v>
      </c>
      <c r="C6" s="26"/>
      <c r="D6" s="26"/>
      <c r="E6" s="26">
        <v>1</v>
      </c>
      <c r="F6" s="26">
        <v>1</v>
      </c>
    </row>
    <row r="7" spans="1:6">
      <c r="A7" s="26">
        <v>4</v>
      </c>
      <c r="B7" s="26" t="s">
        <v>307</v>
      </c>
      <c r="C7" s="26"/>
      <c r="D7" s="26"/>
      <c r="E7" s="26">
        <v>1</v>
      </c>
      <c r="F7" s="26"/>
    </row>
    <row r="8" spans="1:6">
      <c r="A8" s="26">
        <v>5</v>
      </c>
      <c r="B8" s="26" t="s">
        <v>308</v>
      </c>
      <c r="C8" s="26">
        <v>19</v>
      </c>
      <c r="D8" s="26">
        <v>41</v>
      </c>
      <c r="E8" s="26">
        <v>46</v>
      </c>
      <c r="F8" s="26">
        <v>258</v>
      </c>
    </row>
    <row r="9" spans="1:6">
      <c r="A9" s="26">
        <v>6</v>
      </c>
      <c r="B9" s="26" t="s">
        <v>309</v>
      </c>
      <c r="C9" s="26">
        <v>79</v>
      </c>
      <c r="D9" s="26">
        <v>83</v>
      </c>
      <c r="E9" s="26">
        <v>161</v>
      </c>
      <c r="F9" s="26">
        <v>553</v>
      </c>
    </row>
    <row r="10" spans="1:6">
      <c r="A10" s="23">
        <v>1001</v>
      </c>
      <c r="B10" s="23" t="s">
        <v>310</v>
      </c>
      <c r="C10" s="23">
        <v>29366</v>
      </c>
      <c r="D10" s="23">
        <v>22705</v>
      </c>
      <c r="E10" s="23">
        <v>29037</v>
      </c>
      <c r="F10" s="23">
        <v>61399</v>
      </c>
    </row>
    <row r="11" spans="1:6">
      <c r="A11" s="23">
        <v>1002</v>
      </c>
      <c r="B11" s="23" t="s">
        <v>311</v>
      </c>
      <c r="C11" s="23">
        <v>550</v>
      </c>
      <c r="D11" s="23">
        <v>586</v>
      </c>
      <c r="E11" s="23">
        <v>629</v>
      </c>
      <c r="F11" s="23">
        <v>1961</v>
      </c>
    </row>
    <row r="12" spans="1:6">
      <c r="A12" s="23">
        <v>1003</v>
      </c>
      <c r="B12" s="23" t="s">
        <v>312</v>
      </c>
      <c r="C12" s="23">
        <v>831</v>
      </c>
      <c r="D12" s="23">
        <v>725</v>
      </c>
      <c r="E12" s="23">
        <v>1257</v>
      </c>
      <c r="F12" s="23">
        <v>3036</v>
      </c>
    </row>
    <row r="13" spans="1:6">
      <c r="A13" s="24">
        <v>2001</v>
      </c>
      <c r="B13" s="24" t="s">
        <v>313</v>
      </c>
      <c r="C13" s="24">
        <v>11</v>
      </c>
      <c r="D13" s="24">
        <v>26</v>
      </c>
      <c r="E13" s="24">
        <v>18</v>
      </c>
      <c r="F13" s="24">
        <v>114</v>
      </c>
    </row>
    <row r="14" spans="1:6">
      <c r="A14" s="24">
        <v>2002</v>
      </c>
      <c r="B14" s="24" t="s">
        <v>314</v>
      </c>
      <c r="C14" s="24">
        <v>7</v>
      </c>
      <c r="D14" s="24">
        <v>14</v>
      </c>
      <c r="E14" s="24">
        <v>16</v>
      </c>
      <c r="F14" s="24">
        <v>55</v>
      </c>
    </row>
    <row r="15" spans="1:6">
      <c r="A15" s="24">
        <v>2003</v>
      </c>
      <c r="B15" s="24" t="s">
        <v>315</v>
      </c>
      <c r="C15" s="24">
        <v>34</v>
      </c>
      <c r="D15" s="24">
        <v>58</v>
      </c>
      <c r="E15" s="24">
        <v>45</v>
      </c>
      <c r="F15" s="24">
        <v>156</v>
      </c>
    </row>
    <row r="16" spans="1:6">
      <c r="A16" s="24">
        <v>2004</v>
      </c>
      <c r="B16" s="24" t="s">
        <v>316</v>
      </c>
      <c r="C16" s="24">
        <v>30</v>
      </c>
      <c r="D16" s="24">
        <v>33</v>
      </c>
      <c r="E16" s="24">
        <v>41</v>
      </c>
      <c r="F16" s="24">
        <v>162</v>
      </c>
    </row>
    <row r="17" spans="1:7">
      <c r="A17" s="4">
        <v>3001</v>
      </c>
      <c r="B17" s="4" t="s">
        <v>317</v>
      </c>
      <c r="C17" s="4">
        <v>88</v>
      </c>
      <c r="D17" s="4">
        <v>96</v>
      </c>
      <c r="E17" s="4">
        <v>191</v>
      </c>
      <c r="F17" s="4">
        <v>512</v>
      </c>
    </row>
    <row r="18" spans="1:7">
      <c r="A18" s="4">
        <v>3002</v>
      </c>
      <c r="B18" s="4" t="s">
        <v>318</v>
      </c>
      <c r="C18" s="4">
        <v>15</v>
      </c>
      <c r="D18" s="4">
        <v>14</v>
      </c>
      <c r="E18" s="4">
        <v>41</v>
      </c>
      <c r="F18" s="4">
        <v>99</v>
      </c>
    </row>
    <row r="19" spans="1:7">
      <c r="A19" s="4">
        <v>3003</v>
      </c>
      <c r="B19" s="4" t="s">
        <v>319</v>
      </c>
      <c r="C19" s="4"/>
      <c r="D19" s="4">
        <v>1</v>
      </c>
      <c r="E19" s="4">
        <v>2</v>
      </c>
      <c r="F19" s="4">
        <v>16</v>
      </c>
    </row>
    <row r="20" spans="1:7">
      <c r="A20" s="4">
        <v>3004</v>
      </c>
      <c r="B20" s="4" t="s">
        <v>320</v>
      </c>
      <c r="C20" s="4">
        <v>14</v>
      </c>
      <c r="D20" s="4">
        <v>19</v>
      </c>
      <c r="E20" s="4">
        <v>71</v>
      </c>
      <c r="F20" s="4">
        <v>158</v>
      </c>
    </row>
    <row r="21" spans="1:7">
      <c r="A21" s="25">
        <v>4001</v>
      </c>
      <c r="B21" s="25" t="s">
        <v>321</v>
      </c>
      <c r="C21" s="25">
        <v>27</v>
      </c>
      <c r="D21" s="25">
        <v>62</v>
      </c>
      <c r="E21" s="25">
        <v>71</v>
      </c>
      <c r="F21" s="25">
        <v>507</v>
      </c>
    </row>
    <row r="22" spans="1:7">
      <c r="A22" s="25">
        <v>4002</v>
      </c>
      <c r="B22" s="25" t="s">
        <v>322</v>
      </c>
      <c r="C22" s="25">
        <v>23</v>
      </c>
      <c r="D22" s="25">
        <v>33</v>
      </c>
      <c r="E22" s="25">
        <v>107</v>
      </c>
      <c r="F22" s="25">
        <v>298</v>
      </c>
    </row>
    <row r="23" spans="1:7">
      <c r="A23" s="25">
        <v>4003</v>
      </c>
      <c r="B23" s="25" t="s">
        <v>323</v>
      </c>
      <c r="C23" s="25"/>
      <c r="D23" s="25">
        <v>3</v>
      </c>
      <c r="E23" s="25">
        <v>2</v>
      </c>
      <c r="F23" s="25">
        <v>15</v>
      </c>
    </row>
    <row r="24" spans="1:7">
      <c r="A24" s="6" t="s">
        <v>324</v>
      </c>
      <c r="B24" s="6" t="s">
        <v>325</v>
      </c>
      <c r="C24" s="6">
        <v>8</v>
      </c>
      <c r="D24" s="6">
        <v>15</v>
      </c>
      <c r="E24" s="6">
        <v>21</v>
      </c>
      <c r="F24" s="6">
        <v>30</v>
      </c>
    </row>
    <row r="25" spans="1:7">
      <c r="C25">
        <f>SUM(C2:C24)</f>
        <v>31186</v>
      </c>
      <c r="D25">
        <f>SUM(D2:D24)</f>
        <v>24579</v>
      </c>
      <c r="E25">
        <f>SUM(E2:E24)</f>
        <v>31871</v>
      </c>
      <c r="F25">
        <f>SUM(F2:F24)</f>
        <v>69662</v>
      </c>
    </row>
    <row r="26" spans="1:7" ht="17.100000000000001" thickBot="1">
      <c r="A26" s="35" t="s">
        <v>326</v>
      </c>
      <c r="B26" s="2" t="s">
        <v>310</v>
      </c>
      <c r="C26" s="22">
        <f>SUM(C10/C25)*100</f>
        <v>94.164047970243061</v>
      </c>
      <c r="D26" s="22">
        <f>SUM(D10/D25)*100</f>
        <v>92.375605191423574</v>
      </c>
      <c r="E26" s="22">
        <f>SUM(E10/E25)*100</f>
        <v>91.107903736939534</v>
      </c>
      <c r="F26" s="22">
        <f>SUM(F10/F25)*100</f>
        <v>88.138439895495395</v>
      </c>
    </row>
    <row r="27" spans="1:7">
      <c r="A27" s="35"/>
      <c r="B27" s="2" t="s">
        <v>311</v>
      </c>
      <c r="C27" s="31">
        <f>SUM(C11/C25)*100</f>
        <v>1.7636118771243505</v>
      </c>
      <c r="D27" s="27">
        <f t="shared" ref="D27:F27" si="0">SUM(D11/D25)*100</f>
        <v>2.3841490703446029</v>
      </c>
      <c r="E27" s="27">
        <f t="shared" si="0"/>
        <v>1.9735809983997992</v>
      </c>
      <c r="F27" s="29">
        <f t="shared" si="0"/>
        <v>2.8150211018919924</v>
      </c>
      <c r="G27" s="30"/>
    </row>
    <row r="28" spans="1:7" ht="17.100000000000001" thickBot="1">
      <c r="A28" s="35"/>
      <c r="B28" s="28" t="s">
        <v>312</v>
      </c>
      <c r="C28">
        <f>SUM(C12/C25)*100</f>
        <v>2.6646572179824282</v>
      </c>
      <c r="D28">
        <f t="shared" ref="D28:F28" si="1">SUM(D12/D25)*100</f>
        <v>2.9496724846413604</v>
      </c>
      <c r="E28">
        <f t="shared" si="1"/>
        <v>3.9440243481534938</v>
      </c>
      <c r="F28" s="32">
        <f t="shared" si="1"/>
        <v>4.3581866727914784</v>
      </c>
      <c r="G28" s="30"/>
    </row>
    <row r="29" spans="1:7">
      <c r="A29" s="35"/>
      <c r="B29" s="2" t="s">
        <v>327</v>
      </c>
      <c r="C29" s="33">
        <f>SUM(C27:C28)</f>
        <v>4.4282690951067787</v>
      </c>
      <c r="D29" s="33">
        <f t="shared" ref="D29:F29" si="2">SUM(D27:D28)</f>
        <v>5.3338215549859633</v>
      </c>
      <c r="E29" s="33">
        <f t="shared" si="2"/>
        <v>5.9176053465532927</v>
      </c>
      <c r="F29" s="22">
        <f t="shared" si="2"/>
        <v>7.1732077746834708</v>
      </c>
    </row>
    <row r="30" spans="1:7">
      <c r="A30" s="35"/>
      <c r="B30" s="2" t="s">
        <v>328</v>
      </c>
      <c r="C30" s="22" cm="1">
        <f t="array" ref="C30">SUM(C13:C23/C25)*100</f>
        <v>0.79843519527993334</v>
      </c>
      <c r="D30" s="22" cm="1">
        <f t="array" ref="D30">SUM(D13:D23/D25)*100</f>
        <v>1.4605964441189632</v>
      </c>
      <c r="E30" s="22" cm="1">
        <f t="array" ref="E30">SUM(E13:E23/E25)*100</f>
        <v>1.8982774308932888</v>
      </c>
      <c r="F30" s="22" cm="1">
        <f t="array" ref="F30">SUM(F13:F23/F25)*100</f>
        <v>3.0030719761132323</v>
      </c>
    </row>
    <row r="37" spans="1:6">
      <c r="A37" s="2" t="s">
        <v>297</v>
      </c>
      <c r="B37" s="2"/>
      <c r="C37" s="2" t="s">
        <v>298</v>
      </c>
      <c r="D37" s="2" t="s">
        <v>299</v>
      </c>
      <c r="E37" s="2" t="s">
        <v>300</v>
      </c>
      <c r="F37" s="2" t="s">
        <v>301</v>
      </c>
    </row>
    <row r="38" spans="1:6">
      <c r="A38" s="6">
        <v>-3</v>
      </c>
      <c r="B38" s="6" t="s">
        <v>302</v>
      </c>
      <c r="C38" s="6">
        <v>15</v>
      </c>
      <c r="D38" s="6">
        <v>17</v>
      </c>
      <c r="E38" s="6">
        <v>23</v>
      </c>
      <c r="F38" s="6">
        <v>59</v>
      </c>
    </row>
    <row r="39" spans="1:6">
      <c r="A39" s="6">
        <v>-1</v>
      </c>
      <c r="B39" s="6" t="s">
        <v>303</v>
      </c>
      <c r="C39" s="6">
        <v>1</v>
      </c>
      <c r="D39" s="6">
        <v>1</v>
      </c>
      <c r="E39" s="6"/>
      <c r="F39" s="6">
        <v>6</v>
      </c>
    </row>
    <row r="40" spans="1:6">
      <c r="A40" s="26">
        <v>1</v>
      </c>
      <c r="B40" s="26" t="s">
        <v>304</v>
      </c>
      <c r="C40" s="26">
        <v>7</v>
      </c>
      <c r="D40" s="26">
        <v>2</v>
      </c>
      <c r="E40" s="26">
        <v>5</v>
      </c>
      <c r="F40" s="26">
        <v>22</v>
      </c>
    </row>
    <row r="41" spans="1:6">
      <c r="A41" s="26">
        <v>2</v>
      </c>
      <c r="B41" s="26" t="s">
        <v>305</v>
      </c>
      <c r="C41" s="26"/>
      <c r="D41" s="26"/>
      <c r="E41" s="26">
        <v>1</v>
      </c>
      <c r="F41" s="26">
        <v>1</v>
      </c>
    </row>
    <row r="42" spans="1:6">
      <c r="A42" s="26">
        <v>3</v>
      </c>
      <c r="B42" s="26" t="s">
        <v>306</v>
      </c>
      <c r="C42" s="26"/>
      <c r="D42" s="26"/>
      <c r="E42" s="26">
        <v>1</v>
      </c>
      <c r="F42" s="26">
        <v>1</v>
      </c>
    </row>
    <row r="43" spans="1:6">
      <c r="A43" s="26">
        <v>4</v>
      </c>
      <c r="B43" s="26" t="s">
        <v>307</v>
      </c>
      <c r="C43" s="26"/>
      <c r="D43" s="26"/>
      <c r="E43" s="26"/>
      <c r="F43" s="26"/>
    </row>
    <row r="44" spans="1:6">
      <c r="A44" s="26">
        <v>5</v>
      </c>
      <c r="B44" s="26" t="s">
        <v>308</v>
      </c>
      <c r="C44" s="26">
        <v>9</v>
      </c>
      <c r="D44" s="26">
        <v>17</v>
      </c>
      <c r="E44" s="26">
        <v>17</v>
      </c>
      <c r="F44" s="26">
        <v>65</v>
      </c>
    </row>
    <row r="45" spans="1:6">
      <c r="A45" s="26">
        <v>6</v>
      </c>
      <c r="B45" s="26" t="s">
        <v>309</v>
      </c>
      <c r="C45" s="26">
        <v>34</v>
      </c>
      <c r="D45" s="26">
        <v>24</v>
      </c>
      <c r="E45" s="26">
        <v>51</v>
      </c>
      <c r="F45" s="26">
        <v>138</v>
      </c>
    </row>
    <row r="46" spans="1:6">
      <c r="A46" s="23">
        <v>1001</v>
      </c>
      <c r="B46" s="23" t="s">
        <v>310</v>
      </c>
      <c r="C46" s="23">
        <v>8096</v>
      </c>
      <c r="D46" s="23">
        <v>6412</v>
      </c>
      <c r="E46" s="23">
        <v>8276</v>
      </c>
      <c r="F46" s="23">
        <v>17055</v>
      </c>
    </row>
    <row r="47" spans="1:6">
      <c r="A47" s="23">
        <v>1002</v>
      </c>
      <c r="B47" s="23" t="s">
        <v>311</v>
      </c>
      <c r="C47" s="23">
        <v>146</v>
      </c>
      <c r="D47" s="23">
        <v>180</v>
      </c>
      <c r="E47" s="23">
        <v>177</v>
      </c>
      <c r="F47" s="23">
        <v>574</v>
      </c>
    </row>
    <row r="48" spans="1:6">
      <c r="A48" s="23">
        <v>1003</v>
      </c>
      <c r="B48" s="23" t="s">
        <v>312</v>
      </c>
      <c r="C48" s="23">
        <v>301</v>
      </c>
      <c r="D48" s="23">
        <v>213</v>
      </c>
      <c r="E48" s="23">
        <v>372</v>
      </c>
      <c r="F48" s="23">
        <v>881</v>
      </c>
    </row>
    <row r="49" spans="1:6">
      <c r="A49" s="24">
        <v>2001</v>
      </c>
      <c r="B49" s="24" t="s">
        <v>313</v>
      </c>
      <c r="C49" s="24">
        <v>5</v>
      </c>
      <c r="D49" s="24">
        <v>10</v>
      </c>
      <c r="E49" s="24">
        <v>6</v>
      </c>
      <c r="F49" s="24">
        <v>45</v>
      </c>
    </row>
    <row r="50" spans="1:6">
      <c r="A50" s="24">
        <v>2002</v>
      </c>
      <c r="B50" s="24" t="s">
        <v>314</v>
      </c>
      <c r="C50" s="24">
        <v>3</v>
      </c>
      <c r="D50" s="24">
        <v>5</v>
      </c>
      <c r="E50" s="24">
        <v>7</v>
      </c>
      <c r="F50" s="24">
        <v>14</v>
      </c>
    </row>
    <row r="51" spans="1:6">
      <c r="A51" s="24">
        <v>2003</v>
      </c>
      <c r="B51" s="24" t="s">
        <v>315</v>
      </c>
      <c r="C51" s="24">
        <v>12</v>
      </c>
      <c r="D51" s="24">
        <v>16</v>
      </c>
      <c r="E51" s="24">
        <v>11</v>
      </c>
      <c r="F51" s="24">
        <v>54</v>
      </c>
    </row>
    <row r="52" spans="1:6">
      <c r="A52" s="24">
        <v>2004</v>
      </c>
      <c r="B52" s="24" t="s">
        <v>316</v>
      </c>
      <c r="C52" s="24">
        <v>9</v>
      </c>
      <c r="D52" s="24">
        <v>15</v>
      </c>
      <c r="E52" s="24">
        <v>15</v>
      </c>
      <c r="F52" s="24">
        <v>57</v>
      </c>
    </row>
    <row r="53" spans="1:6">
      <c r="A53" s="4">
        <v>3001</v>
      </c>
      <c r="B53" s="4" t="s">
        <v>317</v>
      </c>
      <c r="C53" s="4">
        <v>29</v>
      </c>
      <c r="D53" s="4">
        <v>29</v>
      </c>
      <c r="E53" s="4">
        <v>56</v>
      </c>
      <c r="F53" s="4">
        <v>140</v>
      </c>
    </row>
    <row r="54" spans="1:6">
      <c r="A54" s="4">
        <v>3002</v>
      </c>
      <c r="B54" s="4" t="s">
        <v>318</v>
      </c>
      <c r="C54" s="4">
        <v>5</v>
      </c>
      <c r="D54" s="4">
        <v>5</v>
      </c>
      <c r="E54" s="4">
        <v>14</v>
      </c>
      <c r="F54" s="4">
        <v>29</v>
      </c>
    </row>
    <row r="55" spans="1:6">
      <c r="A55" s="4">
        <v>3003</v>
      </c>
      <c r="B55" s="4" t="s">
        <v>319</v>
      </c>
      <c r="C55" s="4"/>
      <c r="D55" s="4">
        <v>1</v>
      </c>
      <c r="E55" s="4">
        <v>1</v>
      </c>
      <c r="F55" s="4">
        <v>9</v>
      </c>
    </row>
    <row r="56" spans="1:6">
      <c r="A56" s="4">
        <v>3004</v>
      </c>
      <c r="B56" s="4" t="s">
        <v>320</v>
      </c>
      <c r="C56" s="4">
        <v>3</v>
      </c>
      <c r="D56" s="4">
        <v>6</v>
      </c>
      <c r="E56" s="4">
        <v>15</v>
      </c>
      <c r="F56" s="4">
        <v>45</v>
      </c>
    </row>
    <row r="57" spans="1:6">
      <c r="A57" s="25">
        <v>4001</v>
      </c>
      <c r="B57" s="25" t="s">
        <v>321</v>
      </c>
      <c r="C57" s="25">
        <v>11</v>
      </c>
      <c r="D57" s="25">
        <v>26</v>
      </c>
      <c r="E57" s="25">
        <v>23</v>
      </c>
      <c r="F57" s="25">
        <v>178</v>
      </c>
    </row>
    <row r="58" spans="1:6">
      <c r="A58" s="25">
        <v>4002</v>
      </c>
      <c r="B58" s="25" t="s">
        <v>322</v>
      </c>
      <c r="C58" s="25">
        <v>9</v>
      </c>
      <c r="D58" s="25">
        <v>11</v>
      </c>
      <c r="E58" s="25">
        <v>30</v>
      </c>
      <c r="F58" s="25">
        <v>81</v>
      </c>
    </row>
    <row r="59" spans="1:6">
      <c r="A59" s="25">
        <v>4003</v>
      </c>
      <c r="B59" s="25" t="s">
        <v>323</v>
      </c>
      <c r="C59" s="25"/>
      <c r="D59" s="25">
        <v>1</v>
      </c>
      <c r="E59" s="25"/>
      <c r="F59" s="25">
        <v>4</v>
      </c>
    </row>
    <row r="60" spans="1:6">
      <c r="A60" s="6" t="s">
        <v>324</v>
      </c>
      <c r="B60" s="6" t="s">
        <v>325</v>
      </c>
      <c r="C60" s="6"/>
      <c r="D60" s="6"/>
      <c r="E60" s="6"/>
      <c r="F60" s="6"/>
    </row>
    <row r="61" spans="1:6">
      <c r="C61">
        <f>SUM(C38:C60)</f>
        <v>8695</v>
      </c>
      <c r="D61">
        <f>SUM(D38:D60)</f>
        <v>6991</v>
      </c>
      <c r="E61">
        <f>SUM(E38:E59)</f>
        <v>9101</v>
      </c>
      <c r="F61">
        <f>SUM(F38:F59)</f>
        <v>19458</v>
      </c>
    </row>
    <row r="62" spans="1:6">
      <c r="B62" s="25" t="s">
        <v>310</v>
      </c>
      <c r="C62">
        <f>SUM(C46/C61)*100</f>
        <v>93.110983323749281</v>
      </c>
      <c r="D62">
        <f>SUM(D46/D61)*100</f>
        <v>91.717923043913601</v>
      </c>
      <c r="E62">
        <f>SUM(E46/E61)*100</f>
        <v>90.935062081089995</v>
      </c>
      <c r="F62">
        <f>SUM(F46/F61)*100</f>
        <v>87.650323774283066</v>
      </c>
    </row>
    <row r="63" spans="1:6">
      <c r="B63" s="25" t="s">
        <v>329</v>
      </c>
      <c r="C63" cm="1">
        <f t="array" ref="C63">SUM(C47:C48/C61)*100</f>
        <v>5.1408855664174817</v>
      </c>
      <c r="D63" cm="1">
        <f t="array" ref="D63">SUM(D47:D48/D61)*100</f>
        <v>5.6215133743384351</v>
      </c>
      <c r="E63" cm="1">
        <f t="array" ref="E63">SUM(E47:E48/E61)*100</f>
        <v>6.0323041424019337</v>
      </c>
      <c r="F63" cm="1">
        <f t="array" ref="F63">SUM(F47:F48/F61)*100</f>
        <v>7.4776441566450815</v>
      </c>
    </row>
    <row r="64" spans="1:6">
      <c r="B64" s="25" t="s">
        <v>309</v>
      </c>
      <c r="C64" cm="1">
        <f t="array" ref="C64">SUM(C49:C60/C61)*100</f>
        <v>0.98907418056354224</v>
      </c>
      <c r="D64" cm="1">
        <f t="array" ref="D64">SUM(D49:D60/D61)*100</f>
        <v>1.788013159776856</v>
      </c>
      <c r="E64" cm="1">
        <f t="array" ref="E64">SUM(E49:E60/E61)*100</f>
        <v>1.9558290297769472</v>
      </c>
      <c r="F64" cm="1">
        <f t="array" ref="F64">SUM(F49:F60/F61)*100</f>
        <v>3.371363963408367</v>
      </c>
    </row>
  </sheetData>
  <mergeCells count="1">
    <mergeCell ref="A26:A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61D6-4203-3A4C-AD4B-26A0833BB4C9}">
  <dimension ref="A1:G14"/>
  <sheetViews>
    <sheetView workbookViewId="0">
      <selection activeCell="A9" sqref="A9:A13"/>
    </sheetView>
  </sheetViews>
  <sheetFormatPr defaultColWidth="11" defaultRowHeight="15.75" customHeight="1"/>
  <cols>
    <col min="1" max="1" width="18.25" customWidth="1"/>
    <col min="2" max="2" width="30.125" style="2" customWidth="1"/>
    <col min="3" max="3" width="50.625" style="2" customWidth="1"/>
    <col min="4" max="4" width="55.125" style="2" customWidth="1"/>
    <col min="5" max="5" width="50.5" style="2" customWidth="1"/>
    <col min="6" max="6" width="54" style="2" customWidth="1"/>
    <col min="7" max="7" width="27" customWidth="1"/>
  </cols>
  <sheetData>
    <row r="1" spans="1:7">
      <c r="C1" s="2" t="s">
        <v>330</v>
      </c>
      <c r="D1" s="2" t="s">
        <v>331</v>
      </c>
      <c r="E1" s="2" t="s">
        <v>332</v>
      </c>
      <c r="F1" s="2" t="s">
        <v>333</v>
      </c>
    </row>
    <row r="2" spans="1:7">
      <c r="B2" s="2" t="s">
        <v>334</v>
      </c>
      <c r="C2" s="2" t="s">
        <v>335</v>
      </c>
      <c r="D2" s="2" t="s">
        <v>336</v>
      </c>
      <c r="E2" s="2" t="s">
        <v>337</v>
      </c>
      <c r="F2" s="2" t="s">
        <v>338</v>
      </c>
    </row>
    <row r="3" spans="1:7">
      <c r="A3" t="s">
        <v>339</v>
      </c>
      <c r="B3" s="2" t="s">
        <v>168</v>
      </c>
      <c r="C3" s="2" t="s">
        <v>340</v>
      </c>
      <c r="D3" s="2" t="s">
        <v>341</v>
      </c>
      <c r="E3" s="2" t="s">
        <v>342</v>
      </c>
      <c r="F3" s="2" t="s">
        <v>343</v>
      </c>
    </row>
    <row r="4" spans="1:7">
      <c r="B4" s="2" t="s">
        <v>344</v>
      </c>
      <c r="C4" s="2" t="s">
        <v>345</v>
      </c>
      <c r="D4" s="2" t="s">
        <v>346</v>
      </c>
      <c r="E4" s="2" t="s">
        <v>347</v>
      </c>
      <c r="F4" s="2" t="s">
        <v>348</v>
      </c>
    </row>
    <row r="5" spans="1:7">
      <c r="B5" s="2" t="s">
        <v>349</v>
      </c>
      <c r="C5" s="2" t="s">
        <v>350</v>
      </c>
      <c r="D5" s="2" t="s">
        <v>351</v>
      </c>
      <c r="E5" s="2" t="s">
        <v>352</v>
      </c>
      <c r="F5" s="2" t="s">
        <v>353</v>
      </c>
    </row>
    <row r="6" spans="1:7">
      <c r="B6" s="2" t="s">
        <v>354</v>
      </c>
      <c r="C6" s="2">
        <v>0</v>
      </c>
      <c r="D6" s="2" t="s">
        <v>355</v>
      </c>
      <c r="E6" s="2" t="s">
        <v>356</v>
      </c>
      <c r="F6" s="2" t="s">
        <v>357</v>
      </c>
    </row>
    <row r="7" spans="1:7">
      <c r="B7" s="2" t="s">
        <v>358</v>
      </c>
      <c r="C7" s="2">
        <v>0</v>
      </c>
    </row>
    <row r="8" spans="1:7">
      <c r="B8" s="2" t="s">
        <v>359</v>
      </c>
      <c r="C8" s="2">
        <v>0</v>
      </c>
    </row>
    <row r="9" spans="1:7">
      <c r="A9" s="35" t="s">
        <v>360</v>
      </c>
      <c r="B9" s="2" t="s">
        <v>361</v>
      </c>
      <c r="C9" s="2" t="s">
        <v>362</v>
      </c>
      <c r="D9" s="2" t="s">
        <v>363</v>
      </c>
      <c r="E9" s="2" t="s">
        <v>364</v>
      </c>
      <c r="F9" s="2" t="s">
        <v>365</v>
      </c>
    </row>
    <row r="10" spans="1:7">
      <c r="A10" s="35"/>
      <c r="B10" s="2" t="s">
        <v>366</v>
      </c>
      <c r="C10" s="2" t="s">
        <v>367</v>
      </c>
      <c r="D10" s="2" t="s">
        <v>368</v>
      </c>
      <c r="E10" s="2" t="s">
        <v>369</v>
      </c>
      <c r="F10" s="2" t="s">
        <v>370</v>
      </c>
    </row>
    <row r="11" spans="1:7">
      <c r="A11" s="35"/>
      <c r="B11" s="2" t="s">
        <v>371</v>
      </c>
      <c r="C11" s="2" t="s">
        <v>372</v>
      </c>
      <c r="D11" s="2" t="s">
        <v>373</v>
      </c>
      <c r="E11" s="2" t="s">
        <v>374</v>
      </c>
      <c r="F11" s="2" t="s">
        <v>375</v>
      </c>
      <c r="G11" t="s">
        <v>376</v>
      </c>
    </row>
    <row r="12" spans="1:7">
      <c r="A12" s="35"/>
      <c r="B12" s="2" t="s">
        <v>377</v>
      </c>
      <c r="C12" s="2" t="s">
        <v>378</v>
      </c>
      <c r="D12" s="2" t="s">
        <v>379</v>
      </c>
      <c r="E12" s="2" t="s">
        <v>380</v>
      </c>
      <c r="F12" s="2" t="s">
        <v>381</v>
      </c>
    </row>
    <row r="13" spans="1:7">
      <c r="A13" s="35"/>
      <c r="B13" s="2" t="s">
        <v>382</v>
      </c>
      <c r="C13" s="2" t="s">
        <v>383</v>
      </c>
      <c r="D13" s="2" t="s">
        <v>384</v>
      </c>
      <c r="E13" s="2" t="s">
        <v>385</v>
      </c>
      <c r="F13" s="2" t="s">
        <v>386</v>
      </c>
    </row>
    <row r="14" spans="1:7">
      <c r="B14" s="2" t="s">
        <v>270</v>
      </c>
      <c r="C14" s="2" t="s">
        <v>387</v>
      </c>
      <c r="D14" s="2" t="s">
        <v>388</v>
      </c>
      <c r="E14" s="34" t="s">
        <v>389</v>
      </c>
      <c r="F14" s="34" t="s">
        <v>390</v>
      </c>
    </row>
  </sheetData>
  <mergeCells count="1">
    <mergeCell ref="A9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D8D0-1E22-5346-A97D-77E24F913077}">
  <dimension ref="A1:J3"/>
  <sheetViews>
    <sheetView workbookViewId="0">
      <selection activeCell="A5" sqref="A5"/>
    </sheetView>
  </sheetViews>
  <sheetFormatPr defaultColWidth="11" defaultRowHeight="15.95"/>
  <cols>
    <col min="1" max="1" width="19.125" customWidth="1"/>
    <col min="3" max="3" width="19.375" customWidth="1"/>
    <col min="4" max="4" width="20" customWidth="1"/>
    <col min="5" max="6" width="21.625" customWidth="1"/>
    <col min="7" max="7" width="27.5" customWidth="1"/>
    <col min="8" max="8" width="27.625" customWidth="1"/>
    <col min="9" max="9" width="34.375" customWidth="1"/>
    <col min="10" max="10" width="39.625" customWidth="1"/>
  </cols>
  <sheetData>
    <row r="1" spans="1:10"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  <c r="J1" t="s">
        <v>399</v>
      </c>
    </row>
    <row r="2" spans="1:10">
      <c r="A2" t="s">
        <v>358</v>
      </c>
    </row>
    <row r="3" spans="1:10">
      <c r="A3" t="s">
        <v>359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6A9D963194C419FC6EA32A83D105D" ma:contentTypeVersion="4" ma:contentTypeDescription="Create a new document." ma:contentTypeScope="" ma:versionID="0314229fd8e3822df076b8b0aaa42123">
  <xsd:schema xmlns:xsd="http://www.w3.org/2001/XMLSchema" xmlns:xs="http://www.w3.org/2001/XMLSchema" xmlns:p="http://schemas.microsoft.com/office/2006/metadata/properties" xmlns:ns2="d3ba5454-6261-40ac-9ac6-f3a3e5fe5d09" targetNamespace="http://schemas.microsoft.com/office/2006/metadata/properties" ma:root="true" ma:fieldsID="2848d53213e311ef96d2951daf3269f5" ns2:_="">
    <xsd:import namespace="d3ba5454-6261-40ac-9ac6-f3a3e5fe5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a5454-6261-40ac-9ac6-f3a3e5fe5d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3B1898-964D-46EB-832E-09ABC9A21714}"/>
</file>

<file path=customXml/itemProps2.xml><?xml version="1.0" encoding="utf-8"?>
<ds:datastoreItem xmlns:ds="http://schemas.openxmlformats.org/officeDocument/2006/customXml" ds:itemID="{03799284-8520-4F08-BC17-197F0D3699F5}"/>
</file>

<file path=customXml/itemProps3.xml><?xml version="1.0" encoding="utf-8"?>
<ds:datastoreItem xmlns:ds="http://schemas.openxmlformats.org/officeDocument/2006/customXml" ds:itemID="{D844B5B8-B985-4844-9F1C-02D7B357B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Ezrie Samuel</dc:creator>
  <cp:keywords/>
  <dc:description/>
  <cp:lastModifiedBy>Ezrie Samuel</cp:lastModifiedBy>
  <cp:revision/>
  <dcterms:created xsi:type="dcterms:W3CDTF">2024-03-08T14:40:31Z</dcterms:created>
  <dcterms:modified xsi:type="dcterms:W3CDTF">2024-05-19T15:52:34Z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0x0101009DC6A9D963194C419FC6EA32A83D105D</vt:lpwstr>
  </property>
</Properties>
</file>